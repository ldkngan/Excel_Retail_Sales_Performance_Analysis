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mc:AlternateContent xmlns:mc="http://schemas.openxmlformats.org/markup-compatibility/2006">
    <mc:Choice Requires="x15">
      <x15ac:absPath xmlns:x15ac="http://schemas.microsoft.com/office/spreadsheetml/2010/11/ac" url="https://d.docs.live.net/607f970671048a5d/Desktop/"/>
    </mc:Choice>
  </mc:AlternateContent>
  <xr:revisionPtr revIDLastSave="356" documentId="8_{BEF386E3-F641-47B1-A604-78089D7C8CB6}" xr6:coauthVersionLast="47" xr6:coauthVersionMax="47" xr10:uidLastSave="{DB5EAB75-53E7-4EA6-8B62-C81C9FDDF1E1}"/>
  <bookViews>
    <workbookView xWindow="-120" yWindow="-120" windowWidth="29040" windowHeight="15720" xr2:uid="{00000000-000D-0000-FFFF-FFFF00000000}"/>
  </bookViews>
  <sheets>
    <sheet name="Dashboard" sheetId="1" r:id="rId1"/>
    <sheet name="Analyze" sheetId="2" r:id="rId2"/>
    <sheet name="Design Thinking" sheetId="3" r:id="rId3"/>
  </sheets>
  <definedNames>
    <definedName name="_xleta.AND" hidden="1" xlm="1">#NAME?</definedName>
    <definedName name="_xleta.GROWTH" hidden="1" xlm="1">#NAME?</definedName>
    <definedName name="_xleta.MONTH" hidden="1" xlm="1">#NAME?</definedName>
    <definedName name="_xleta.PRODUCT" hidden="1" xlm="1">#NAME?</definedName>
    <definedName name="Slicer_Country">#N/A</definedName>
    <definedName name="Slicer_Customer_Segment_Name">#N/A</definedName>
    <definedName name="Slicer_Month_Number">#N/A</definedName>
    <definedName name="Slicer_Quarter">#N/A</definedName>
    <definedName name="Slicer_Year">#N/A</definedName>
  </definedNames>
  <calcPr calcId="191028"/>
  <pivotCaches>
    <pivotCache cacheId="0" r:id="rId4"/>
    <pivotCache cacheId="1" r:id="rId5"/>
    <pivotCache cacheId="2" r:id="rId6"/>
    <pivotCache cacheId="3" r:id="rId7"/>
    <pivotCache cacheId="4" r:id="rId8"/>
    <pivotCache cacheId="5" r:id="rId9"/>
    <pivotCache cacheId="6" r:id="rId10"/>
  </pivotCaches>
  <extLst>
    <ext xmlns:x14="http://schemas.microsoft.com/office/spreadsheetml/2009/9/main" uri="{876F7934-8845-4945-9796-88D515C7AA90}">
      <x14:pivotCaches>
        <pivotCache cacheId="7" r:id="rId11"/>
      </x14:pivotCaches>
    </ext>
    <ext xmlns:x14="http://schemas.microsoft.com/office/spreadsheetml/2009/9/main" uri="{BBE1A952-AA13-448e-AADC-164F8A28A991}">
      <x14:slicerCaches>
        <x14:slicerCache r:id="rId12"/>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_sale_2020-2021_2eb2cafb-7a4d-4293-8f3e-7cf81cb20606" name="fact_sale_2020-2021" connection="Query - fact_sale_2020-2021"/>
          <x15:modelTable id="dim_customer_17a625bc-8d3a-42f6-b7b2-6a3b7651803d" name="dim_customer" connection="Query - dim_customer"/>
          <x15:modelTable id="dim_customer_segment_c3919d61-b7ca-48c3-b518-5d5ce8ccdbba" name="dim_customer_segment" connection="Query - dim_customer_segment"/>
          <x15:modelTable id="dim_product_eb2b5462-a098-46d2-ba13-9ddd74177244" name="dim_product" connection="Query - dim_product"/>
          <x15:modelTable id="dim_region_6752ee56-0109-4506-bf7f-ef03b87e23fc" name="dim_region" connection="Query - dim_region"/>
          <x15:modelTable id="Calendar" name="dim_date" connection="Connection"/>
        </x15:modelTables>
        <x15:modelRelationships>
          <x15:modelRelationship fromTable="fact_sale_2020-2021" fromColumn="Order_Date" toTable="dim_date" toColumn="Date"/>
          <x15:modelRelationship fromTable="fact_sale_2020-2021" fromColumn="Region_ID" toTable="dim_region" toColumn="Region_ID"/>
          <x15:modelRelationship fromTable="fact_sale_2020-2021" fromColumn="Product_ID" toTable="dim_product" toColumn="Product_ID"/>
          <x15:modelRelationship fromTable="fact_sale_2020-2021" fromColumn="Customer_Segment_ID" toTable="dim_customer_segment" toColumn="Customer_Segment_ID"/>
          <x15:modelRelationship fromTable="fact_sale_2020-2021" fromColumn="Customer_ID" toTable="dim_customer" toColumn="Customer_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1" i="2" l="1"/>
  <c r="K32" i="2"/>
  <c r="K33" i="2"/>
  <c r="K34" i="2"/>
  <c r="K35" i="2"/>
  <c r="K30" i="2"/>
  <c r="J31" i="2"/>
  <c r="J32" i="2"/>
  <c r="J33" i="2"/>
  <c r="J34" i="2"/>
  <c r="J35" i="2"/>
  <c r="J30" i="2"/>
  <c r="I31" i="2"/>
  <c r="I32" i="2"/>
  <c r="I33" i="2"/>
  <c r="I34" i="2"/>
  <c r="I35" i="2"/>
  <c r="I30" i="2"/>
  <c r="I19" i="2"/>
  <c r="I20" i="2"/>
  <c r="I21" i="2"/>
  <c r="I22" i="2"/>
  <c r="I23" i="2"/>
  <c r="I24" i="2"/>
  <c r="I25" i="2"/>
  <c r="I18"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ECD9213-E5DA-4A39-8D0C-93DCEEEBC87D}" name="Connection" type="104" refreshedVersion="0" background="1">
    <extLst>
      <ext xmlns:x15="http://schemas.microsoft.com/office/spreadsheetml/2010/11/main" uri="{DE250136-89BD-433C-8126-D09CA5730AF9}">
        <x15:connection id="Calendar"/>
      </ext>
    </extLst>
  </connection>
  <connection id="2" xr16:uid="{421E5B98-D197-4435-9D1E-63B346AE0E6A}" name="Query - dim_customer" description="Connection to the 'dim_customer' query in the workbook." type="100" refreshedVersion="8" minRefreshableVersion="5">
    <extLst>
      <ext xmlns:x15="http://schemas.microsoft.com/office/spreadsheetml/2010/11/main" uri="{DE250136-89BD-433C-8126-D09CA5730AF9}">
        <x15:connection id="5b924fcf-99de-4520-a540-8fda354f6491"/>
      </ext>
    </extLst>
  </connection>
  <connection id="3" xr16:uid="{0B183756-36D6-4FDF-8C22-3A1F47589FFA}" name="Query - dim_customer_segment" description="Connection to the 'dim_customer_segment' query in the workbook." type="100" refreshedVersion="8" minRefreshableVersion="5">
    <extLst>
      <ext xmlns:x15="http://schemas.microsoft.com/office/spreadsheetml/2010/11/main" uri="{DE250136-89BD-433C-8126-D09CA5730AF9}">
        <x15:connection id="7cac12b7-bfb1-425b-bd01-7cbafb0f71a3"/>
      </ext>
    </extLst>
  </connection>
  <connection id="4" xr16:uid="{D7D269B2-FE87-42C8-A003-B29660DAF1C7}" name="Query - dim_product" description="Connection to the 'dim_product' query in the workbook." type="100" refreshedVersion="8" minRefreshableVersion="5">
    <extLst>
      <ext xmlns:x15="http://schemas.microsoft.com/office/spreadsheetml/2010/11/main" uri="{DE250136-89BD-433C-8126-D09CA5730AF9}">
        <x15:connection id="085ab37f-7d08-4fac-a923-e299f30aa534"/>
      </ext>
    </extLst>
  </connection>
  <connection id="5" xr16:uid="{BB22F2D8-B9BF-4F77-B586-DF5F0E508F88}" name="Query - dim_region" description="Connection to the 'dim_region' query in the workbook." type="100" refreshedVersion="8" minRefreshableVersion="5">
    <extLst>
      <ext xmlns:x15="http://schemas.microsoft.com/office/spreadsheetml/2010/11/main" uri="{DE250136-89BD-433C-8126-D09CA5730AF9}">
        <x15:connection id="f3bf7c8f-cab4-4dbd-998d-9a7caaf36b0d"/>
      </ext>
    </extLst>
  </connection>
  <connection id="6" xr16:uid="{97E308DE-8EE8-4EF1-ADDF-FEF46331DBD5}" name="Query - fact_sale_2020-2021" description="Connection to the 'fact_sale_2020-2021' query in the workbook." type="100" refreshedVersion="8" minRefreshableVersion="5">
    <extLst>
      <ext xmlns:x15="http://schemas.microsoft.com/office/spreadsheetml/2010/11/main" uri="{DE250136-89BD-433C-8126-D09CA5730AF9}">
        <x15:connection id="429047ee-70c2-46a7-9e7d-61666cc4cc14"/>
      </ext>
    </extLst>
  </connection>
  <connection id="7" xr16:uid="{1E80842D-2401-4BB5-AC3F-02E9E518F16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<sst xmlns="http://schemas.openxmlformats.org/spreadsheetml/2006/main" count="134" uniqueCount="91">
  <si>
    <t>KPI Card</t>
  </si>
  <si>
    <t>Total Revenue</t>
  </si>
  <si>
    <t>Profit</t>
  </si>
  <si>
    <t>Profit Margin</t>
  </si>
  <si>
    <t>Total Units Sold</t>
  </si>
  <si>
    <t>Total Customer</t>
  </si>
  <si>
    <t>Year Month</t>
  </si>
  <si>
    <t>2020-01</t>
  </si>
  <si>
    <t>2020-02</t>
  </si>
  <si>
    <t>2020-03</t>
  </si>
  <si>
    <t>2020-04</t>
  </si>
  <si>
    <t>2020-05</t>
  </si>
  <si>
    <t>2020-06</t>
  </si>
  <si>
    <t>2020-07</t>
  </si>
  <si>
    <t>2020-08</t>
  </si>
  <si>
    <t>2020-09</t>
  </si>
  <si>
    <t>2020-10</t>
  </si>
  <si>
    <t>2020-11</t>
  </si>
  <si>
    <t>2020-12</t>
  </si>
  <si>
    <t>2021-01</t>
  </si>
  <si>
    <t>2021-02</t>
  </si>
  <si>
    <t>2021-03</t>
  </si>
  <si>
    <t>2021-04</t>
  </si>
  <si>
    <t>2021-05</t>
  </si>
  <si>
    <t>2021-06</t>
  </si>
  <si>
    <t>2021-07</t>
  </si>
  <si>
    <t>2021-08</t>
  </si>
  <si>
    <t>2021-09</t>
  </si>
  <si>
    <t>2021-10</t>
  </si>
  <si>
    <t>2021-11</t>
  </si>
  <si>
    <t>2021-12</t>
  </si>
  <si>
    <t>Grand Total</t>
  </si>
  <si>
    <t>Revenue by Customer Segment</t>
  </si>
  <si>
    <t>Customer_Segment_Name</t>
  </si>
  <si>
    <t>Government</t>
  </si>
  <si>
    <t>Small Business</t>
  </si>
  <si>
    <t>Enterprise</t>
  </si>
  <si>
    <t>Midmarket</t>
  </si>
  <si>
    <t>Channel Partners</t>
  </si>
  <si>
    <t>Product_Name</t>
  </si>
  <si>
    <t>Road Racer</t>
  </si>
  <si>
    <t>Yellow Edition</t>
  </si>
  <si>
    <t>X-Terrain</t>
  </si>
  <si>
    <t>Speedster</t>
  </si>
  <si>
    <t>Trail Master</t>
  </si>
  <si>
    <t>City Cruiser</t>
  </si>
  <si>
    <t>Revenue &amp; Profit by Country</t>
  </si>
  <si>
    <t>Country</t>
  </si>
  <si>
    <t>Revenue</t>
  </si>
  <si>
    <t>Italy</t>
  </si>
  <si>
    <t>Canada</t>
  </si>
  <si>
    <t>India</t>
  </si>
  <si>
    <t>France</t>
  </si>
  <si>
    <t>Germany</t>
  </si>
  <si>
    <t>USA</t>
  </si>
  <si>
    <t>Japan</t>
  </si>
  <si>
    <t>England</t>
  </si>
  <si>
    <t>Revenue, Profit, COGS by Product</t>
  </si>
  <si>
    <t>Total Cost</t>
  </si>
  <si>
    <t>COGS</t>
  </si>
  <si>
    <t>Revenue, Profit, Profit Margin by Month</t>
  </si>
  <si>
    <t>Revenue LY</t>
  </si>
  <si>
    <t>Profit LY</t>
  </si>
  <si>
    <t>Profit Margin LY</t>
  </si>
  <si>
    <t>What Problem Does This Dashboard Solve?</t>
  </si>
  <si>
    <t>Key Metrics</t>
  </si>
  <si>
    <t>Layer 1</t>
  </si>
  <si>
    <t>Layer 2</t>
  </si>
  <si>
    <t>Layer 3</t>
  </si>
  <si>
    <t>Why Is This Analysis Necessary?</t>
  </si>
  <si>
    <t>Revenue, Profit, Profit Margin, Total Unit Sold, Total Customer</t>
  </si>
  <si>
    <t>Total Units Sold LY</t>
  </si>
  <si>
    <t>Total Customer LY</t>
  </si>
  <si>
    <t>Sum of Discount_Rate</t>
  </si>
  <si>
    <t>Row Labels</t>
  </si>
  <si>
    <t>Product</t>
  </si>
  <si>
    <t>Discount Rate</t>
  </si>
  <si>
    <t>Define Problem</t>
  </si>
  <si>
    <t>Who Will Use This Dashboard?</t>
  </si>
  <si>
    <t>- CEO – To monitor overall sales, profitability, and growth trends.
- Sales Director – To evaluate performance by region, product, and customer segment.
- Regional Managers – To track country-level results and identify underperforming markets.</t>
  </si>
  <si>
    <t>- Track revenue and profit trends
- Evaluate the impact of discounts on margin
- Compare performance across regions and segments
- Identify top and underperforming products</t>
  </si>
  <si>
    <t>- Support data-driven strategic planning
- Optimize discount and pricing strategy
- Identify growth opportunities by region and segment
- Improve resource allocation based on performance</t>
  </si>
  <si>
    <t>Slicers</t>
  </si>
  <si>
    <t>Filter by Time (year, quarter, month), Region (Country), and Customer Segment</t>
  </si>
  <si>
    <t>Ideate - Layout</t>
  </si>
  <si>
    <t>Overview KPI card: Total Revenue, Total Profit, Profit Margin, Total Unit Sold, Total Customer</t>
  </si>
  <si>
    <t>- Revenue, Profit, Profit Margin by Month
- Profit vs. Discount Rate by Product</t>
  </si>
  <si>
    <t>- Revenue by Customer Segment
- Revenue, Profit by Country
- Revenue, Profit, COGS by Product</t>
  </si>
  <si>
    <t>Define Key Metrics And Slicers</t>
  </si>
  <si>
    <t>Total Profit</t>
  </si>
  <si>
    <t>Profit vs. Discount 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</si>
</sst>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0%;\-0.00%;0.00%"/>
    <numFmt numFmtId="165" formatCode="0.0,,\ &quot;M&quot;"/>
    <numFmt numFmtId="166" formatCode="0.00,,\ &quot;M&quot;"/>
  </numFmts>
  <fonts count="7" x14ac:knownFonts="1">
    <font>
      <sz val="11"/>
      <color theme="1"/>
      <name val="Calibri"/>
      <family val="2"/>
      <scheme val="minor"/>
    </font>
    <font>
      <b/>
      <sz val="11"/>
      <color theme="1"/>
      <name val="Calibri"/>
      <family val="2"/>
      <scheme val="minor"/>
    </font>
    <font>
      <sz val="8"/>
      <color rgb="FF000000"/>
      <name val="Segoe UI"/>
      <family val="2"/>
    </font>
    <font>
      <sz val="10"/>
      <color rgb="FF000000"/>
      <name val="Segoe UI"/>
      <family val="2"/>
    </font>
    <font>
      <b/>
      <sz val="12"/>
      <color rgb="FFFFFFFF"/>
      <name val="Nunito"/>
    </font>
    <font>
      <sz val="12"/>
      <color theme="1"/>
      <name val="Nunito"/>
    </font>
    <font>
      <sz val="10"/>
      <color theme="1"/>
      <name val="Arial"/>
      <family val="2"/>
    </font>
  </fonts>
  <fills count="4">
    <fill>
      <patternFill patternType="none"/>
    </fill>
    <fill>
      <patternFill patternType="gray125"/>
    </fill>
    <fill>
      <patternFill patternType="solid">
        <fgColor rgb="FF1C4587"/>
        <bgColor indexed="64"/>
      </patternFill>
    </fill>
    <fill>
      <patternFill patternType="solid">
        <fgColor rgb="FFFFF2CC"/>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2">
    <xf numFmtId="0" fontId="0" fillId="0" borderId="0" xfId="0"/>
    <xf numFmtId="164" fontId="0" fillId="0" borderId="0" xfId="0" applyNumberFormat="1"/>
    <xf numFmtId="165" fontId="0" fillId="0" borderId="0" xfId="0" applyNumberFormat="1"/>
    <xf numFmtId="0" fontId="0" fillId="0" borderId="0" xfId="0" pivotButton="1"/>
    <xf numFmtId="0" fontId="1" fillId="0" borderId="0" xfId="0" applyFont="1"/>
    <xf numFmtId="9" fontId="0" fillId="0" borderId="0" xfId="0" applyNumberFormat="1"/>
    <xf numFmtId="166" fontId="0" fillId="0" borderId="0" xfId="0" applyNumberFormat="1"/>
    <xf numFmtId="0" fontId="0" fillId="0" borderId="0" xfId="0" applyAlignment="1">
      <alignment horizontal="left"/>
    </xf>
    <xf numFmtId="0" fontId="5" fillId="3" borderId="1" xfId="0" applyFont="1" applyFill="1" applyBorder="1" applyAlignment="1">
      <alignment vertical="center" wrapText="1"/>
    </xf>
    <xf numFmtId="0" fontId="5" fillId="0" borderId="1" xfId="0" applyFont="1" applyBorder="1" applyAlignment="1">
      <alignment vertical="center" wrapText="1"/>
    </xf>
    <xf numFmtId="0" fontId="6" fillId="0" borderId="0" xfId="0" applyFont="1" applyAlignment="1">
      <alignment vertical="center" wrapText="1"/>
    </xf>
    <xf numFmtId="0" fontId="4" fillId="2" borderId="1" xfId="0" applyFont="1" applyFill="1" applyBorder="1" applyAlignment="1">
      <alignment vertical="center" wrapText="1"/>
    </xf>
  </cellXfs>
  <cellStyles count="1">
    <cellStyle name="Normal" xfId="0" builtinId="0"/>
  </cellStyles>
  <dxfs count="13">
    <dxf>
      <numFmt numFmtId="166" formatCode="0.00,,\ &quot;M&quot;"/>
    </dxf>
    <dxf>
      <numFmt numFmtId="166" formatCode="0.00,,\ &quot;M&quot;"/>
    </dxf>
    <dxf>
      <numFmt numFmtId="165" formatCode="0.0,,\ &quot;M&quot;"/>
    </dxf>
    <dxf>
      <numFmt numFmtId="165" formatCode="0.0,,\ &quot;M&quot;"/>
    </dxf>
    <dxf>
      <numFmt numFmtId="165" formatCode="0.0,,\ &quot;M&quot;"/>
    </dxf>
    <dxf>
      <numFmt numFmtId="166" formatCode="0.00,,\ &quot;M&quot;"/>
    </dxf>
    <dxf>
      <numFmt numFmtId="166" formatCode="0.00,,\ &quot;M&quot;"/>
    </dxf>
    <dxf>
      <numFmt numFmtId="165" formatCode="0.0,,\ &quot;M&quot;"/>
    </dxf>
    <dxf>
      <numFmt numFmtId="13" formatCode="0%"/>
    </dxf>
    <dxf>
      <numFmt numFmtId="165" formatCode="0.0,,\ &quot;M&quot;"/>
    </dxf>
    <dxf>
      <numFmt numFmtId="165" formatCode="0.0,,\ &quot;M&quot;"/>
    </dxf>
    <dxf>
      <font>
        <b/>
        <color theme="1"/>
      </font>
      <border>
        <bottom style="thin">
          <color theme="4"/>
        </bottom>
        <vertical/>
        <horizontal/>
      </border>
    </dxf>
    <dxf>
      <font>
        <color theme="1"/>
      </font>
      <fill>
        <patternFill patternType="none">
          <bgColor auto="1"/>
        </patternFill>
      </fill>
      <border diagonalUp="0" diagonalDown="0">
        <left/>
        <right/>
        <top/>
        <bottom/>
        <vertical/>
        <horizontal/>
      </border>
    </dxf>
  </dxfs>
  <tableStyles count="1" defaultTableStyle="TableStyleMedium2" defaultPivotStyle="PivotStyleLight16">
    <tableStyle name="SlicerStyleLight1 2" pivot="0" table="0" count="10" xr9:uid="{0045ACC4-F35F-4EDA-99E8-258ABA74FA9E}">
      <tableStyleElement type="wholeTable" dxfId="12"/>
      <tableStyleElement type="headerRow" dxfId="11"/>
    </tableStyle>
  </tableStyles>
  <colors>
    <mruColors>
      <color rgb="FFE85E76"/>
      <color rgb="FF287E8F"/>
      <color rgb="FF15CAB6"/>
      <color rgb="FF81EE72"/>
      <color rgb="FFEF8A5A"/>
      <color rgb="FFF6B53D"/>
      <color rgb="FF526D82"/>
      <color rgb="FF27374D"/>
      <color rgb="FF838383"/>
      <color rgb="FFEFEFE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0"/>
            <name val="Segoe UI"/>
            <family val="2"/>
            <scheme val="none"/>
          </font>
          <fill>
            <patternFill patternType="solid">
              <fgColor rgb="FF287E8F"/>
              <bgColor rgb="FF287E8F"/>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2.xml"/><Relationship Id="rId18" Type="http://schemas.openxmlformats.org/officeDocument/2006/relationships/connections" Target="connections.xml"/><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powerPivotData" Target="model/item.data"/><Relationship Id="rId34" Type="http://schemas.openxmlformats.org/officeDocument/2006/relationships/customXml" Target="../customXml/item11.xml"/><Relationship Id="rId42" Type="http://schemas.openxmlformats.org/officeDocument/2006/relationships/customXml" Target="../customXml/item19.xml"/><Relationship Id="rId47" Type="http://schemas.openxmlformats.org/officeDocument/2006/relationships/customXml" Target="../customXml/item24.xml"/><Relationship Id="rId50" Type="http://schemas.openxmlformats.org/officeDocument/2006/relationships/customXml" Target="../customXml/item27.xml"/><Relationship Id="rId55" Type="http://schemas.openxmlformats.org/officeDocument/2006/relationships/customXml" Target="../customXml/item32.xml"/><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microsoft.com/office/2007/relationships/slicerCache" Target="slicerCaches/slicerCache5.xml"/><Relationship Id="rId29" Type="http://schemas.openxmlformats.org/officeDocument/2006/relationships/customXml" Target="../customXml/item6.xml"/><Relationship Id="rId11" Type="http://schemas.openxmlformats.org/officeDocument/2006/relationships/pivotCacheDefinition" Target="pivotCache/pivotCacheDefinition8.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45" Type="http://schemas.openxmlformats.org/officeDocument/2006/relationships/customXml" Target="../customXml/item22.xml"/><Relationship Id="rId53" Type="http://schemas.openxmlformats.org/officeDocument/2006/relationships/customXml" Target="../customXml/item30.xml"/><Relationship Id="rId5" Type="http://schemas.openxmlformats.org/officeDocument/2006/relationships/pivotCacheDefinition" Target="pivotCache/pivotCacheDefinition2.xml"/><Relationship Id="rId19"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microsoft.com/office/2007/relationships/slicerCache" Target="slicerCaches/slicerCache3.xml"/><Relationship Id="rId22" Type="http://schemas.microsoft.com/office/2017/10/relationships/person" Target="persons/person.xml"/><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43" Type="http://schemas.openxmlformats.org/officeDocument/2006/relationships/customXml" Target="../customXml/item20.xml"/><Relationship Id="rId48" Type="http://schemas.openxmlformats.org/officeDocument/2006/relationships/customXml" Target="../customXml/item25.xml"/><Relationship Id="rId56" Type="http://schemas.openxmlformats.org/officeDocument/2006/relationships/customXml" Target="../customXml/item33.xml"/><Relationship Id="rId8" Type="http://schemas.openxmlformats.org/officeDocument/2006/relationships/pivotCacheDefinition" Target="pivotCache/pivotCacheDefinition5.xml"/><Relationship Id="rId51" Type="http://schemas.openxmlformats.org/officeDocument/2006/relationships/customXml" Target="../customXml/item28.xml"/><Relationship Id="rId3" Type="http://schemas.openxmlformats.org/officeDocument/2006/relationships/worksheet" Target="worksheets/sheet3.xml"/><Relationship Id="rId12" Type="http://schemas.microsoft.com/office/2007/relationships/slicerCache" Target="slicerCaches/slicerCache1.xml"/><Relationship Id="rId17" Type="http://schemas.openxmlformats.org/officeDocument/2006/relationships/theme" Target="theme/theme1.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 Id="rId46" Type="http://schemas.openxmlformats.org/officeDocument/2006/relationships/customXml" Target="../customXml/item23.xml"/><Relationship Id="rId20" Type="http://schemas.openxmlformats.org/officeDocument/2006/relationships/sharedStrings" Target="sharedStrings.xml"/><Relationship Id="rId41" Type="http://schemas.openxmlformats.org/officeDocument/2006/relationships/customXml" Target="../customXml/item18.xml"/><Relationship Id="rId54" Type="http://schemas.openxmlformats.org/officeDocument/2006/relationships/customXml" Target="../customXml/item31.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5" Type="http://schemas.microsoft.com/office/2007/relationships/slicerCache" Target="slicerCaches/slicerCache4.xml"/><Relationship Id="rId23" Type="http://schemas.openxmlformats.org/officeDocument/2006/relationships/calcChain" Target="calcChain.xml"/><Relationship Id="rId28" Type="http://schemas.openxmlformats.org/officeDocument/2006/relationships/customXml" Target="../customXml/item5.xml"/><Relationship Id="rId36" Type="http://schemas.openxmlformats.org/officeDocument/2006/relationships/customXml" Target="../customXml/item13.xml"/><Relationship Id="rId49" Type="http://schemas.openxmlformats.org/officeDocument/2006/relationships/customXml" Target="../customXml/item26.xml"/><Relationship Id="rId57" Type="http://schemas.microsoft.com/office/2006/relationships/vbaProject" Target="vbaProject.bin"/><Relationship Id="rId10" Type="http://schemas.openxmlformats.org/officeDocument/2006/relationships/pivotCacheDefinition" Target="pivotCache/pivotCacheDefinition7.xml"/><Relationship Id="rId31" Type="http://schemas.openxmlformats.org/officeDocument/2006/relationships/customXml" Target="../customXml/item8.xml"/><Relationship Id="rId44" Type="http://schemas.openxmlformats.org/officeDocument/2006/relationships/customXml" Target="../customXml/item21.xml"/><Relationship Id="rId52" Type="http://schemas.openxmlformats.org/officeDocument/2006/relationships/customXml" Target="../customXml/item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 Performance Analysis.xlsm]Analyze!Revenue by Customer Segment</c:name>
    <c:fmtId val="7"/>
  </c:pivotSource>
  <c:chart>
    <c:autoTitleDeleted val="1"/>
    <c:pivotFmts>
      <c:pivotFmt>
        <c:idx val="0"/>
        <c:spPr>
          <a:solidFill>
            <a:srgbClr val="287E8F"/>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287E8F"/>
          </a:solidFill>
          <a:ln w="19050">
            <a:solidFill>
              <a:schemeClr val="lt1"/>
            </a:solidFill>
          </a:ln>
          <a:effectLst/>
        </c:spPr>
      </c:pivotFmt>
      <c:pivotFmt>
        <c:idx val="2"/>
        <c:spPr>
          <a:solidFill>
            <a:srgbClr val="15CAB6"/>
          </a:solidFill>
          <a:ln w="19050">
            <a:solidFill>
              <a:schemeClr val="lt1"/>
            </a:solidFill>
          </a:ln>
          <a:effectLst/>
        </c:spPr>
      </c:pivotFmt>
      <c:pivotFmt>
        <c:idx val="3"/>
        <c:spPr>
          <a:solidFill>
            <a:srgbClr val="F6B53D"/>
          </a:solidFill>
          <a:ln w="19050">
            <a:solidFill>
              <a:schemeClr val="lt1"/>
            </a:solidFill>
          </a:ln>
          <a:effectLst/>
        </c:spPr>
      </c:pivotFmt>
      <c:pivotFmt>
        <c:idx val="4"/>
        <c:spPr>
          <a:solidFill>
            <a:srgbClr val="EF8A5A"/>
          </a:solidFill>
          <a:ln w="19050">
            <a:solidFill>
              <a:schemeClr val="lt1"/>
            </a:solidFill>
          </a:ln>
          <a:effectLst/>
        </c:spPr>
      </c:pivotFmt>
      <c:pivotFmt>
        <c:idx val="5"/>
        <c:spPr>
          <a:solidFill>
            <a:srgbClr val="E85E76"/>
          </a:solidFill>
          <a:ln w="19050">
            <a:solidFill>
              <a:schemeClr val="lt1"/>
            </a:solidFill>
          </a:ln>
          <a:effectLst/>
        </c:spPr>
      </c:pivotFmt>
      <c:pivotFmt>
        <c:idx val="6"/>
        <c:spPr>
          <a:solidFill>
            <a:srgbClr val="287E8F"/>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rgbClr val="287E8F"/>
          </a:solidFill>
          <a:ln w="19050">
            <a:solidFill>
              <a:schemeClr val="lt1"/>
            </a:solidFill>
          </a:ln>
          <a:effectLst/>
        </c:spPr>
      </c:pivotFmt>
      <c:pivotFmt>
        <c:idx val="8"/>
        <c:spPr>
          <a:solidFill>
            <a:srgbClr val="15CAB6"/>
          </a:solidFill>
          <a:ln w="19050">
            <a:solidFill>
              <a:schemeClr val="lt1"/>
            </a:solidFill>
          </a:ln>
          <a:effectLst/>
        </c:spPr>
      </c:pivotFmt>
      <c:pivotFmt>
        <c:idx val="9"/>
        <c:spPr>
          <a:solidFill>
            <a:srgbClr val="F6B53D"/>
          </a:solidFill>
          <a:ln w="19050">
            <a:solidFill>
              <a:schemeClr val="lt1"/>
            </a:solidFill>
          </a:ln>
          <a:effectLst/>
        </c:spPr>
      </c:pivotFmt>
      <c:pivotFmt>
        <c:idx val="10"/>
        <c:spPr>
          <a:solidFill>
            <a:srgbClr val="EF8A5A"/>
          </a:solidFill>
          <a:ln w="19050">
            <a:solidFill>
              <a:schemeClr val="lt1"/>
            </a:solidFill>
          </a:ln>
          <a:effectLst/>
        </c:spPr>
      </c:pivotFmt>
      <c:pivotFmt>
        <c:idx val="11"/>
        <c:spPr>
          <a:solidFill>
            <a:srgbClr val="E85E76"/>
          </a:solidFill>
          <a:ln w="19050">
            <a:solidFill>
              <a:schemeClr val="lt1"/>
            </a:solidFill>
          </a:ln>
          <a:effectLst/>
        </c:spPr>
      </c:pivotFmt>
      <c:pivotFmt>
        <c:idx val="12"/>
        <c:spPr>
          <a:solidFill>
            <a:srgbClr val="287E8F"/>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Segoe UI" panose="020B0502040204020203" pitchFamily="34" charset="0"/>
                  <a:ea typeface="+mn-ea"/>
                  <a:cs typeface="Segoe UI" panose="020B0502040204020203"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3"/>
        <c:spPr>
          <a:solidFill>
            <a:srgbClr val="287E8F"/>
          </a:solidFill>
          <a:ln w="19050">
            <a:solidFill>
              <a:schemeClr val="lt1"/>
            </a:solidFill>
          </a:ln>
          <a:effectLst/>
        </c:spPr>
      </c:pivotFmt>
      <c:pivotFmt>
        <c:idx val="14"/>
        <c:spPr>
          <a:solidFill>
            <a:srgbClr val="15CAB6"/>
          </a:solidFill>
          <a:ln w="19050">
            <a:solidFill>
              <a:schemeClr val="lt1"/>
            </a:solidFill>
          </a:ln>
          <a:effectLst/>
        </c:spPr>
      </c:pivotFmt>
      <c:pivotFmt>
        <c:idx val="15"/>
        <c:spPr>
          <a:solidFill>
            <a:srgbClr val="F6B53D"/>
          </a:solidFill>
          <a:ln w="19050">
            <a:solidFill>
              <a:schemeClr val="lt1"/>
            </a:solidFill>
          </a:ln>
          <a:effectLst/>
        </c:spPr>
      </c:pivotFmt>
      <c:pivotFmt>
        <c:idx val="16"/>
        <c:spPr>
          <a:solidFill>
            <a:srgbClr val="EF8A5A"/>
          </a:solidFill>
          <a:ln w="19050">
            <a:solidFill>
              <a:schemeClr val="lt1"/>
            </a:solidFill>
          </a:ln>
          <a:effectLst/>
        </c:spPr>
      </c:pivotFmt>
      <c:pivotFmt>
        <c:idx val="17"/>
        <c:spPr>
          <a:solidFill>
            <a:srgbClr val="E85E76"/>
          </a:solidFill>
          <a:ln w="19050">
            <a:solidFill>
              <a:schemeClr val="lt1"/>
            </a:solidFill>
          </a:ln>
          <a:effectLst/>
        </c:spPr>
      </c:pivotFmt>
    </c:pivotFmts>
    <c:plotArea>
      <c:layout/>
      <c:doughnutChart>
        <c:varyColors val="1"/>
        <c:ser>
          <c:idx val="0"/>
          <c:order val="0"/>
          <c:tx>
            <c:strRef>
              <c:f>Analyze!$D$8</c:f>
              <c:strCache>
                <c:ptCount val="1"/>
                <c:pt idx="0">
                  <c:v>Total</c:v>
                </c:pt>
              </c:strCache>
            </c:strRef>
          </c:tx>
          <c:spPr>
            <a:solidFill>
              <a:srgbClr val="287E8F"/>
            </a:solidFill>
          </c:spPr>
          <c:dPt>
            <c:idx val="0"/>
            <c:bubble3D val="0"/>
            <c:spPr>
              <a:solidFill>
                <a:srgbClr val="287E8F"/>
              </a:solidFill>
              <a:ln w="19050">
                <a:solidFill>
                  <a:schemeClr val="lt1"/>
                </a:solidFill>
              </a:ln>
              <a:effectLst/>
            </c:spPr>
            <c:extLst>
              <c:ext xmlns:c16="http://schemas.microsoft.com/office/drawing/2014/chart" uri="{C3380CC4-5D6E-409C-BE32-E72D297353CC}">
                <c16:uniqueId val="{00000001-5EA3-44D5-8562-4118016EAD2A}"/>
              </c:ext>
            </c:extLst>
          </c:dPt>
          <c:dPt>
            <c:idx val="1"/>
            <c:bubble3D val="0"/>
            <c:spPr>
              <a:solidFill>
                <a:srgbClr val="15CAB6"/>
              </a:solidFill>
              <a:ln w="19050">
                <a:solidFill>
                  <a:schemeClr val="lt1"/>
                </a:solidFill>
              </a:ln>
              <a:effectLst/>
            </c:spPr>
            <c:extLst>
              <c:ext xmlns:c16="http://schemas.microsoft.com/office/drawing/2014/chart" uri="{C3380CC4-5D6E-409C-BE32-E72D297353CC}">
                <c16:uniqueId val="{00000003-5EA3-44D5-8562-4118016EAD2A}"/>
              </c:ext>
            </c:extLst>
          </c:dPt>
          <c:dPt>
            <c:idx val="2"/>
            <c:bubble3D val="0"/>
            <c:spPr>
              <a:solidFill>
                <a:srgbClr val="F6B53D"/>
              </a:solidFill>
              <a:ln w="19050">
                <a:solidFill>
                  <a:schemeClr val="lt1"/>
                </a:solidFill>
              </a:ln>
              <a:effectLst/>
            </c:spPr>
            <c:extLst>
              <c:ext xmlns:c16="http://schemas.microsoft.com/office/drawing/2014/chart" uri="{C3380CC4-5D6E-409C-BE32-E72D297353CC}">
                <c16:uniqueId val="{00000005-5EA3-44D5-8562-4118016EAD2A}"/>
              </c:ext>
            </c:extLst>
          </c:dPt>
          <c:dPt>
            <c:idx val="3"/>
            <c:bubble3D val="0"/>
            <c:spPr>
              <a:solidFill>
                <a:srgbClr val="EF8A5A"/>
              </a:solidFill>
              <a:ln w="19050">
                <a:solidFill>
                  <a:schemeClr val="lt1"/>
                </a:solidFill>
              </a:ln>
              <a:effectLst/>
            </c:spPr>
            <c:extLst>
              <c:ext xmlns:c16="http://schemas.microsoft.com/office/drawing/2014/chart" uri="{C3380CC4-5D6E-409C-BE32-E72D297353CC}">
                <c16:uniqueId val="{00000007-5EA3-44D5-8562-4118016EAD2A}"/>
              </c:ext>
            </c:extLst>
          </c:dPt>
          <c:dPt>
            <c:idx val="4"/>
            <c:bubble3D val="0"/>
            <c:spPr>
              <a:solidFill>
                <a:srgbClr val="E85E76"/>
              </a:solidFill>
              <a:ln w="19050">
                <a:solidFill>
                  <a:schemeClr val="lt1"/>
                </a:solidFill>
              </a:ln>
              <a:effectLst/>
            </c:spPr>
            <c:extLst>
              <c:ext xmlns:c16="http://schemas.microsoft.com/office/drawing/2014/chart" uri="{C3380CC4-5D6E-409C-BE32-E72D297353CC}">
                <c16:uniqueId val="{00000009-5EA3-44D5-8562-4118016EAD2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Segoe UI" panose="020B0502040204020203" pitchFamily="34" charset="0"/>
                    <a:ea typeface="+mn-ea"/>
                    <a:cs typeface="Segoe UI" panose="020B0502040204020203" pitchFamily="34" charset="0"/>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Analyze!$C$9:$C$14</c:f>
              <c:strCache>
                <c:ptCount val="5"/>
                <c:pt idx="0">
                  <c:v>Government</c:v>
                </c:pt>
                <c:pt idx="1">
                  <c:v>Small Business</c:v>
                </c:pt>
                <c:pt idx="2">
                  <c:v>Enterprise</c:v>
                </c:pt>
                <c:pt idx="3">
                  <c:v>Midmarket</c:v>
                </c:pt>
                <c:pt idx="4">
                  <c:v>Channel Partners</c:v>
                </c:pt>
              </c:strCache>
            </c:strRef>
          </c:cat>
          <c:val>
            <c:numRef>
              <c:f>Analyze!$D$9:$D$14</c:f>
              <c:numCache>
                <c:formatCode>0.0,,\ "M"</c:formatCode>
                <c:ptCount val="5"/>
                <c:pt idx="0">
                  <c:v>149994240.5</c:v>
                </c:pt>
                <c:pt idx="1">
                  <c:v>53620003.325000003</c:v>
                </c:pt>
                <c:pt idx="2">
                  <c:v>52065924.79999999</c:v>
                </c:pt>
                <c:pt idx="3">
                  <c:v>50031959.900000006</c:v>
                </c:pt>
                <c:pt idx="4">
                  <c:v>49410923.75</c:v>
                </c:pt>
              </c:numCache>
            </c:numRef>
          </c:val>
          <c:extLst>
            <c:ext xmlns:c16="http://schemas.microsoft.com/office/drawing/2014/chart" uri="{C3380CC4-5D6E-409C-BE32-E72D297353CC}">
              <c16:uniqueId val="{0000000A-5EA3-44D5-8562-4118016EAD2A}"/>
            </c:ext>
          </c:extLst>
        </c:ser>
        <c:dLbls>
          <c:showLegendKey val="0"/>
          <c:showVal val="0"/>
          <c:showCatName val="0"/>
          <c:showSerName val="0"/>
          <c:showPercent val="0"/>
          <c:showBubbleSize val="0"/>
          <c:showLeaderLines val="0"/>
        </c:dLbls>
        <c:firstSliceAng val="0"/>
        <c:holeSize val="50"/>
      </c:doughnutChart>
      <c:spPr>
        <a:noFill/>
        <a:ln>
          <a:noFill/>
        </a:ln>
        <a:effectLst/>
      </c:spPr>
    </c:plotArea>
    <c:legend>
      <c:legendPos val="r"/>
      <c:layout>
        <c:manualLayout>
          <c:xMode val="edge"/>
          <c:yMode val="edge"/>
          <c:x val="0.60715103041141938"/>
          <c:y val="0.23788187259674753"/>
          <c:w val="0.34883297316542056"/>
          <c:h val="0.5242362548065049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082805198130722"/>
          <c:y val="5.0925925925925923E-2"/>
          <c:w val="0.70462326355547023"/>
          <c:h val="0.89814814814814814"/>
        </c:manualLayout>
      </c:layout>
      <c:barChart>
        <c:barDir val="bar"/>
        <c:grouping val="clustered"/>
        <c:varyColors val="0"/>
        <c:ser>
          <c:idx val="0"/>
          <c:order val="0"/>
          <c:tx>
            <c:strRef>
              <c:f>Analyze!$I$17</c:f>
              <c:strCache>
                <c:ptCount val="1"/>
                <c:pt idx="0">
                  <c:v>Revenue</c:v>
                </c:pt>
              </c:strCache>
            </c:strRef>
          </c:tx>
          <c:spPr>
            <a:solidFill>
              <a:srgbClr val="287E8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Analyze!$H$18:$H$25</c:f>
              <c:strCache>
                <c:ptCount val="8"/>
                <c:pt idx="0">
                  <c:v>Italy</c:v>
                </c:pt>
                <c:pt idx="1">
                  <c:v>Canada</c:v>
                </c:pt>
                <c:pt idx="2">
                  <c:v>India</c:v>
                </c:pt>
                <c:pt idx="3">
                  <c:v>France</c:v>
                </c:pt>
                <c:pt idx="4">
                  <c:v>Germany</c:v>
                </c:pt>
                <c:pt idx="5">
                  <c:v>USA</c:v>
                </c:pt>
                <c:pt idx="6">
                  <c:v>Japan</c:v>
                </c:pt>
                <c:pt idx="7">
                  <c:v>England</c:v>
                </c:pt>
              </c:strCache>
            </c:strRef>
          </c:cat>
          <c:val>
            <c:numRef>
              <c:f>Analyze!$I$18:$I$25</c:f>
              <c:numCache>
                <c:formatCode>0.0,,\ "M"</c:formatCode>
                <c:ptCount val="8"/>
                <c:pt idx="0">
                  <c:v>35602864</c:v>
                </c:pt>
                <c:pt idx="1">
                  <c:v>39860558.450000003</c:v>
                </c:pt>
                <c:pt idx="2">
                  <c:v>40899707.07500001</c:v>
                </c:pt>
                <c:pt idx="3">
                  <c:v>41277966.700000003</c:v>
                </c:pt>
                <c:pt idx="4">
                  <c:v>41473597.600000001</c:v>
                </c:pt>
                <c:pt idx="5">
                  <c:v>46892881.374999993</c:v>
                </c:pt>
                <c:pt idx="6">
                  <c:v>53594403.649999991</c:v>
                </c:pt>
                <c:pt idx="7">
                  <c:v>55521073.42499999</c:v>
                </c:pt>
              </c:numCache>
            </c:numRef>
          </c:val>
          <c:extLst>
            <c:ext xmlns:c16="http://schemas.microsoft.com/office/drawing/2014/chart" uri="{C3380CC4-5D6E-409C-BE32-E72D297353CC}">
              <c16:uniqueId val="{00000000-694F-464E-87B1-56A80B3D20F8}"/>
            </c:ext>
          </c:extLst>
        </c:ser>
        <c:dLbls>
          <c:showLegendKey val="0"/>
          <c:showVal val="0"/>
          <c:showCatName val="0"/>
          <c:showSerName val="0"/>
          <c:showPercent val="0"/>
          <c:showBubbleSize val="0"/>
        </c:dLbls>
        <c:gapWidth val="182"/>
        <c:axId val="354157151"/>
        <c:axId val="354155231"/>
      </c:barChart>
      <c:catAx>
        <c:axId val="354157151"/>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crossAx val="354155231"/>
        <c:crosses val="autoZero"/>
        <c:auto val="1"/>
        <c:lblAlgn val="ctr"/>
        <c:lblOffset val="100"/>
        <c:noMultiLvlLbl val="0"/>
      </c:catAx>
      <c:valAx>
        <c:axId val="354155231"/>
        <c:scaling>
          <c:orientation val="minMax"/>
        </c:scaling>
        <c:delete val="1"/>
        <c:axPos val="b"/>
        <c:numFmt formatCode="0.0,,\ &quot;M&quot;" sourceLinked="1"/>
        <c:majorTickMark val="none"/>
        <c:minorTickMark val="none"/>
        <c:tickLblPos val="nextTo"/>
        <c:crossAx val="3541571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3639143730886847E-2"/>
          <c:y val="3.7136679500965462E-2"/>
          <c:w val="0.85314671675214915"/>
          <c:h val="0.64640974944211271"/>
        </c:manualLayout>
      </c:layout>
      <c:barChart>
        <c:barDir val="col"/>
        <c:grouping val="clustered"/>
        <c:varyColors val="0"/>
        <c:ser>
          <c:idx val="0"/>
          <c:order val="0"/>
          <c:tx>
            <c:strRef>
              <c:f>Analyze!$I$29</c:f>
              <c:strCache>
                <c:ptCount val="1"/>
                <c:pt idx="0">
                  <c:v>Revenue</c:v>
                </c:pt>
              </c:strCache>
            </c:strRef>
          </c:tx>
          <c:spPr>
            <a:solidFill>
              <a:srgbClr val="287E8F"/>
            </a:solidFill>
            <a:ln>
              <a:noFill/>
            </a:ln>
            <a:effectLst/>
          </c:spPr>
          <c:invertIfNegative val="0"/>
          <c:cat>
            <c:strRef>
              <c:f>Analyze!$H$30:$H$35</c:f>
              <c:strCache>
                <c:ptCount val="6"/>
                <c:pt idx="0">
                  <c:v>Speedster</c:v>
                </c:pt>
                <c:pt idx="1">
                  <c:v>Road Racer</c:v>
                </c:pt>
                <c:pt idx="2">
                  <c:v>Trail Master</c:v>
                </c:pt>
                <c:pt idx="3">
                  <c:v>City Cruiser</c:v>
                </c:pt>
                <c:pt idx="4">
                  <c:v>Yellow Edition</c:v>
                </c:pt>
                <c:pt idx="5">
                  <c:v>X-Terrain</c:v>
                </c:pt>
              </c:strCache>
            </c:strRef>
          </c:cat>
          <c:val>
            <c:numRef>
              <c:f>Analyze!$I$30:$I$35</c:f>
              <c:numCache>
                <c:formatCode>0.0,,\ "M"</c:formatCode>
                <c:ptCount val="6"/>
                <c:pt idx="0">
                  <c:v>37990195.500000015</c:v>
                </c:pt>
                <c:pt idx="1">
                  <c:v>44574829.899999984</c:v>
                </c:pt>
                <c:pt idx="2">
                  <c:v>46931514.724999987</c:v>
                </c:pt>
                <c:pt idx="3">
                  <c:v>57056872.850000016</c:v>
                </c:pt>
                <c:pt idx="4">
                  <c:v>79038861.25</c:v>
                </c:pt>
                <c:pt idx="5">
                  <c:v>89530778.049999982</c:v>
                </c:pt>
              </c:numCache>
            </c:numRef>
          </c:val>
          <c:extLst>
            <c:ext xmlns:c16="http://schemas.microsoft.com/office/drawing/2014/chart" uri="{C3380CC4-5D6E-409C-BE32-E72D297353CC}">
              <c16:uniqueId val="{00000000-D9BC-43F5-9412-B716697F3865}"/>
            </c:ext>
          </c:extLst>
        </c:ser>
        <c:ser>
          <c:idx val="1"/>
          <c:order val="1"/>
          <c:tx>
            <c:strRef>
              <c:f>Analyze!$J$29</c:f>
              <c:strCache>
                <c:ptCount val="1"/>
                <c:pt idx="0">
                  <c:v>Profit</c:v>
                </c:pt>
              </c:strCache>
            </c:strRef>
          </c:tx>
          <c:spPr>
            <a:solidFill>
              <a:srgbClr val="15CAB6"/>
            </a:solidFill>
            <a:ln>
              <a:noFill/>
            </a:ln>
            <a:effectLst/>
          </c:spPr>
          <c:invertIfNegative val="0"/>
          <c:cat>
            <c:strRef>
              <c:f>Analyze!$H$30:$H$35</c:f>
              <c:strCache>
                <c:ptCount val="6"/>
                <c:pt idx="0">
                  <c:v>Speedster</c:v>
                </c:pt>
                <c:pt idx="1">
                  <c:v>Road Racer</c:v>
                </c:pt>
                <c:pt idx="2">
                  <c:v>Trail Master</c:v>
                </c:pt>
                <c:pt idx="3">
                  <c:v>City Cruiser</c:v>
                </c:pt>
                <c:pt idx="4">
                  <c:v>Yellow Edition</c:v>
                </c:pt>
                <c:pt idx="5">
                  <c:v>X-Terrain</c:v>
                </c:pt>
              </c:strCache>
            </c:strRef>
          </c:cat>
          <c:val>
            <c:numRef>
              <c:f>Analyze!$J$30:$J$35</c:f>
              <c:numCache>
                <c:formatCode>0.0,,\ "M"</c:formatCode>
                <c:ptCount val="6"/>
                <c:pt idx="0">
                  <c:v>17190583.500000015</c:v>
                </c:pt>
                <c:pt idx="1">
                  <c:v>17514671.899999984</c:v>
                </c:pt>
                <c:pt idx="2">
                  <c:v>21155627.224999987</c:v>
                </c:pt>
                <c:pt idx="3">
                  <c:v>29676352.850000016</c:v>
                </c:pt>
                <c:pt idx="4">
                  <c:v>45766621.25</c:v>
                </c:pt>
                <c:pt idx="5">
                  <c:v>43979162.049999982</c:v>
                </c:pt>
              </c:numCache>
            </c:numRef>
          </c:val>
          <c:extLst>
            <c:ext xmlns:c16="http://schemas.microsoft.com/office/drawing/2014/chart" uri="{C3380CC4-5D6E-409C-BE32-E72D297353CC}">
              <c16:uniqueId val="{00000001-D9BC-43F5-9412-B716697F3865}"/>
            </c:ext>
          </c:extLst>
        </c:ser>
        <c:ser>
          <c:idx val="2"/>
          <c:order val="2"/>
          <c:tx>
            <c:strRef>
              <c:f>Analyze!$K$29</c:f>
              <c:strCache>
                <c:ptCount val="1"/>
                <c:pt idx="0">
                  <c:v>COGS</c:v>
                </c:pt>
              </c:strCache>
            </c:strRef>
          </c:tx>
          <c:spPr>
            <a:solidFill>
              <a:srgbClr val="F6B53D"/>
            </a:solidFill>
            <a:ln>
              <a:noFill/>
            </a:ln>
            <a:effectLst/>
          </c:spPr>
          <c:invertIfNegative val="0"/>
          <c:cat>
            <c:strRef>
              <c:f>Analyze!$H$30:$H$35</c:f>
              <c:strCache>
                <c:ptCount val="6"/>
                <c:pt idx="0">
                  <c:v>Speedster</c:v>
                </c:pt>
                <c:pt idx="1">
                  <c:v>Road Racer</c:v>
                </c:pt>
                <c:pt idx="2">
                  <c:v>Trail Master</c:v>
                </c:pt>
                <c:pt idx="3">
                  <c:v>City Cruiser</c:v>
                </c:pt>
                <c:pt idx="4">
                  <c:v>Yellow Edition</c:v>
                </c:pt>
                <c:pt idx="5">
                  <c:v>X-Terrain</c:v>
                </c:pt>
              </c:strCache>
            </c:strRef>
          </c:cat>
          <c:val>
            <c:numRef>
              <c:f>Analyze!$K$30:$K$35</c:f>
              <c:numCache>
                <c:formatCode>0.0,,\ "M"</c:formatCode>
                <c:ptCount val="6"/>
                <c:pt idx="0">
                  <c:v>20799612</c:v>
                </c:pt>
                <c:pt idx="1">
                  <c:v>27060158</c:v>
                </c:pt>
                <c:pt idx="2">
                  <c:v>25775887.5</c:v>
                </c:pt>
                <c:pt idx="3">
                  <c:v>27380520</c:v>
                </c:pt>
                <c:pt idx="4">
                  <c:v>33272240</c:v>
                </c:pt>
                <c:pt idx="5">
                  <c:v>45551616</c:v>
                </c:pt>
              </c:numCache>
            </c:numRef>
          </c:val>
          <c:extLst>
            <c:ext xmlns:c16="http://schemas.microsoft.com/office/drawing/2014/chart" uri="{C3380CC4-5D6E-409C-BE32-E72D297353CC}">
              <c16:uniqueId val="{00000002-D9BC-43F5-9412-B716697F3865}"/>
            </c:ext>
          </c:extLst>
        </c:ser>
        <c:dLbls>
          <c:showLegendKey val="0"/>
          <c:showVal val="0"/>
          <c:showCatName val="0"/>
          <c:showSerName val="0"/>
          <c:showPercent val="0"/>
          <c:showBubbleSize val="0"/>
        </c:dLbls>
        <c:gapWidth val="219"/>
        <c:overlap val="-27"/>
        <c:axId val="98935055"/>
        <c:axId val="98944655"/>
      </c:barChart>
      <c:catAx>
        <c:axId val="9893505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crossAx val="98944655"/>
        <c:crosses val="autoZero"/>
        <c:auto val="1"/>
        <c:lblAlgn val="ctr"/>
        <c:lblOffset val="100"/>
        <c:noMultiLvlLbl val="0"/>
      </c:catAx>
      <c:valAx>
        <c:axId val="98944655"/>
        <c:scaling>
          <c:orientation val="minMax"/>
        </c:scaling>
        <c:delete val="0"/>
        <c:axPos val="r"/>
        <c:numFmt formatCode="0,,\ &quot;M&quot;"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crossAx val="98935055"/>
        <c:crosses val="max"/>
        <c:crossBetween val="between"/>
      </c:valAx>
      <c:spPr>
        <a:noFill/>
        <a:ln>
          <a:noFill/>
        </a:ln>
        <a:effectLst/>
      </c:spPr>
    </c:plotArea>
    <c:legend>
      <c:legendPos val="b"/>
      <c:layout>
        <c:manualLayout>
          <c:xMode val="edge"/>
          <c:yMode val="edge"/>
          <c:x val="4.1862794673601579E-2"/>
          <c:y val="4.911071823991995E-2"/>
          <c:w val="0.37422861133184038"/>
          <c:h val="9.39261908471082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 Performance Analysis.xlsm]Analyze!ComboChart</c:name>
    <c:fmtId val="8"/>
  </c:pivotSource>
  <c:chart>
    <c:autoTitleDeleted val="0"/>
    <c:pivotFmts>
      <c:pivotFmt>
        <c:idx val="0"/>
        <c:spPr>
          <a:solidFill>
            <a:srgbClr val="287E8F"/>
          </a:solidFill>
          <a:ln w="12700">
            <a:solidFill>
              <a:srgbClr val="287E8F"/>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5CAB6"/>
          </a:solidFill>
          <a:ln w="12700">
            <a:solidFill>
              <a:srgbClr val="15CAB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C000"/>
            </a:solidFill>
            <a:round/>
          </a:ln>
          <a:effectLst/>
        </c:spPr>
        <c:marker>
          <c:symbol val="none"/>
        </c:marker>
      </c:pivotFmt>
      <c:pivotFmt>
        <c:idx val="4"/>
        <c:spPr>
          <a:solidFill>
            <a:srgbClr val="287E8F"/>
          </a:solidFill>
          <a:ln w="12700">
            <a:solidFill>
              <a:srgbClr val="287E8F"/>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15CAB6"/>
          </a:solidFill>
          <a:ln w="12700">
            <a:solidFill>
              <a:srgbClr val="15CAB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287E8F"/>
          </a:solidFill>
          <a:ln w="12700">
            <a:solidFill>
              <a:srgbClr val="287E8F"/>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15CAB6"/>
          </a:solidFill>
          <a:ln w="12700">
            <a:solidFill>
              <a:srgbClr val="15CAB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6369694925505068E-2"/>
          <c:y val="9.6618357487922704E-2"/>
          <c:w val="0.86784168227125225"/>
          <c:h val="0.63751784650107146"/>
        </c:manualLayout>
      </c:layout>
      <c:barChart>
        <c:barDir val="col"/>
        <c:grouping val="clustered"/>
        <c:varyColors val="0"/>
        <c:ser>
          <c:idx val="0"/>
          <c:order val="0"/>
          <c:tx>
            <c:strRef>
              <c:f>Analyze!$D$39</c:f>
              <c:strCache>
                <c:ptCount val="1"/>
                <c:pt idx="0">
                  <c:v>Revenue</c:v>
                </c:pt>
              </c:strCache>
            </c:strRef>
          </c:tx>
          <c:spPr>
            <a:solidFill>
              <a:srgbClr val="287E8F"/>
            </a:solidFill>
            <a:ln w="12700">
              <a:solidFill>
                <a:srgbClr val="287E8F"/>
              </a:solidFill>
            </a:ln>
            <a:effectLst/>
          </c:spPr>
          <c:invertIfNegative val="0"/>
          <c:cat>
            <c:strRef>
              <c:f>Analyze!$C$40:$C$64</c:f>
              <c:strCache>
                <c:ptCount val="24"/>
                <c:pt idx="0">
                  <c:v>2020-01</c:v>
                </c:pt>
                <c:pt idx="1">
                  <c:v>2020-02</c:v>
                </c:pt>
                <c:pt idx="2">
                  <c:v>2020-03</c:v>
                </c:pt>
                <c:pt idx="3">
                  <c:v>2020-04</c:v>
                </c:pt>
                <c:pt idx="4">
                  <c:v>2020-05</c:v>
                </c:pt>
                <c:pt idx="5">
                  <c:v>2020-06</c:v>
                </c:pt>
                <c:pt idx="6">
                  <c:v>2020-07</c:v>
                </c:pt>
                <c:pt idx="7">
                  <c:v>2020-08</c:v>
                </c:pt>
                <c:pt idx="8">
                  <c:v>2020-09</c:v>
                </c:pt>
                <c:pt idx="9">
                  <c:v>2020-10</c:v>
                </c:pt>
                <c:pt idx="10">
                  <c:v>2020-11</c:v>
                </c:pt>
                <c:pt idx="11">
                  <c:v>2020-12</c:v>
                </c:pt>
                <c:pt idx="12">
                  <c:v>2021-01</c:v>
                </c:pt>
                <c:pt idx="13">
                  <c:v>2021-02</c:v>
                </c:pt>
                <c:pt idx="14">
                  <c:v>2021-03</c:v>
                </c:pt>
                <c:pt idx="15">
                  <c:v>2021-04</c:v>
                </c:pt>
                <c:pt idx="16">
                  <c:v>2021-05</c:v>
                </c:pt>
                <c:pt idx="17">
                  <c:v>2021-06</c:v>
                </c:pt>
                <c:pt idx="18">
                  <c:v>2021-07</c:v>
                </c:pt>
                <c:pt idx="19">
                  <c:v>2021-08</c:v>
                </c:pt>
                <c:pt idx="20">
                  <c:v>2021-09</c:v>
                </c:pt>
                <c:pt idx="21">
                  <c:v>2021-10</c:v>
                </c:pt>
                <c:pt idx="22">
                  <c:v>2021-11</c:v>
                </c:pt>
                <c:pt idx="23">
                  <c:v>2021-12</c:v>
                </c:pt>
              </c:strCache>
            </c:strRef>
          </c:cat>
          <c:val>
            <c:numRef>
              <c:f>Analyze!$D$40:$D$64</c:f>
              <c:numCache>
                <c:formatCode>0.0,,\ "M"</c:formatCode>
                <c:ptCount val="24"/>
                <c:pt idx="0">
                  <c:v>12993520.300000001</c:v>
                </c:pt>
                <c:pt idx="1">
                  <c:v>8150532.2750000004</c:v>
                </c:pt>
                <c:pt idx="2">
                  <c:v>13055455.65</c:v>
                </c:pt>
                <c:pt idx="3">
                  <c:v>16042101.674999999</c:v>
                </c:pt>
                <c:pt idx="4">
                  <c:v>11151137.85</c:v>
                </c:pt>
                <c:pt idx="5">
                  <c:v>11351968.300000001</c:v>
                </c:pt>
                <c:pt idx="6">
                  <c:v>17998118.725000001</c:v>
                </c:pt>
                <c:pt idx="7">
                  <c:v>12053888.450000001</c:v>
                </c:pt>
                <c:pt idx="8">
                  <c:v>13113264.25</c:v>
                </c:pt>
                <c:pt idx="9">
                  <c:v>16507841.600000001</c:v>
                </c:pt>
                <c:pt idx="10">
                  <c:v>14811371.15</c:v>
                </c:pt>
                <c:pt idx="11">
                  <c:v>16671344.149999999</c:v>
                </c:pt>
                <c:pt idx="12">
                  <c:v>17462655.25</c:v>
                </c:pt>
                <c:pt idx="13">
                  <c:v>10280044.299999999</c:v>
                </c:pt>
                <c:pt idx="14">
                  <c:v>13154489.450000001</c:v>
                </c:pt>
                <c:pt idx="15">
                  <c:v>19436879.275000002</c:v>
                </c:pt>
                <c:pt idx="16">
                  <c:v>14691772.550000001</c:v>
                </c:pt>
                <c:pt idx="17">
                  <c:v>16060429.375</c:v>
                </c:pt>
                <c:pt idx="18">
                  <c:v>14830226.875</c:v>
                </c:pt>
                <c:pt idx="19">
                  <c:v>17305356.375</c:v>
                </c:pt>
                <c:pt idx="20">
                  <c:v>13405226.049999999</c:v>
                </c:pt>
                <c:pt idx="21">
                  <c:v>17944157.049999997</c:v>
                </c:pt>
                <c:pt idx="22">
                  <c:v>17844453.399999999</c:v>
                </c:pt>
                <c:pt idx="23">
                  <c:v>18806817.949999999</c:v>
                </c:pt>
              </c:numCache>
            </c:numRef>
          </c:val>
          <c:extLst>
            <c:ext xmlns:c16="http://schemas.microsoft.com/office/drawing/2014/chart" uri="{C3380CC4-5D6E-409C-BE32-E72D297353CC}">
              <c16:uniqueId val="{00000000-18BD-4AC8-A69D-1F97C9BD8ED0}"/>
            </c:ext>
          </c:extLst>
        </c:ser>
        <c:ser>
          <c:idx val="1"/>
          <c:order val="1"/>
          <c:tx>
            <c:strRef>
              <c:f>Analyze!$E$39</c:f>
              <c:strCache>
                <c:ptCount val="1"/>
                <c:pt idx="0">
                  <c:v>Profit</c:v>
                </c:pt>
              </c:strCache>
            </c:strRef>
          </c:tx>
          <c:spPr>
            <a:solidFill>
              <a:srgbClr val="15CAB6"/>
            </a:solidFill>
            <a:ln w="12700">
              <a:solidFill>
                <a:srgbClr val="15CAB6"/>
              </a:solidFill>
            </a:ln>
            <a:effectLst/>
          </c:spPr>
          <c:invertIfNegative val="0"/>
          <c:cat>
            <c:strRef>
              <c:f>Analyze!$C$40:$C$64</c:f>
              <c:strCache>
                <c:ptCount val="24"/>
                <c:pt idx="0">
                  <c:v>2020-01</c:v>
                </c:pt>
                <c:pt idx="1">
                  <c:v>2020-02</c:v>
                </c:pt>
                <c:pt idx="2">
                  <c:v>2020-03</c:v>
                </c:pt>
                <c:pt idx="3">
                  <c:v>2020-04</c:v>
                </c:pt>
                <c:pt idx="4">
                  <c:v>2020-05</c:v>
                </c:pt>
                <c:pt idx="5">
                  <c:v>2020-06</c:v>
                </c:pt>
                <c:pt idx="6">
                  <c:v>2020-07</c:v>
                </c:pt>
                <c:pt idx="7">
                  <c:v>2020-08</c:v>
                </c:pt>
                <c:pt idx="8">
                  <c:v>2020-09</c:v>
                </c:pt>
                <c:pt idx="9">
                  <c:v>2020-10</c:v>
                </c:pt>
                <c:pt idx="10">
                  <c:v>2020-11</c:v>
                </c:pt>
                <c:pt idx="11">
                  <c:v>2020-12</c:v>
                </c:pt>
                <c:pt idx="12">
                  <c:v>2021-01</c:v>
                </c:pt>
                <c:pt idx="13">
                  <c:v>2021-02</c:v>
                </c:pt>
                <c:pt idx="14">
                  <c:v>2021-03</c:v>
                </c:pt>
                <c:pt idx="15">
                  <c:v>2021-04</c:v>
                </c:pt>
                <c:pt idx="16">
                  <c:v>2021-05</c:v>
                </c:pt>
                <c:pt idx="17">
                  <c:v>2021-06</c:v>
                </c:pt>
                <c:pt idx="18">
                  <c:v>2021-07</c:v>
                </c:pt>
                <c:pt idx="19">
                  <c:v>2021-08</c:v>
                </c:pt>
                <c:pt idx="20">
                  <c:v>2021-09</c:v>
                </c:pt>
                <c:pt idx="21">
                  <c:v>2021-10</c:v>
                </c:pt>
                <c:pt idx="22">
                  <c:v>2021-11</c:v>
                </c:pt>
                <c:pt idx="23">
                  <c:v>2021-12</c:v>
                </c:pt>
              </c:strCache>
            </c:strRef>
          </c:cat>
          <c:val>
            <c:numRef>
              <c:f>Analyze!$E$40:$E$64</c:f>
              <c:numCache>
                <c:formatCode>0.0,,\ "M"</c:formatCode>
                <c:ptCount val="24"/>
                <c:pt idx="0">
                  <c:v>6789287.3000000007</c:v>
                </c:pt>
                <c:pt idx="1">
                  <c:v>4029982.7750000004</c:v>
                </c:pt>
                <c:pt idx="2">
                  <c:v>6494853.1500000004</c:v>
                </c:pt>
                <c:pt idx="3">
                  <c:v>8185223.1749999989</c:v>
                </c:pt>
                <c:pt idx="4">
                  <c:v>5437693.3499999996</c:v>
                </c:pt>
                <c:pt idx="5">
                  <c:v>5512751.3000000007</c:v>
                </c:pt>
                <c:pt idx="6">
                  <c:v>8712852.2250000015</c:v>
                </c:pt>
                <c:pt idx="7">
                  <c:v>5792497.9500000011</c:v>
                </c:pt>
                <c:pt idx="8">
                  <c:v>6393517.75</c:v>
                </c:pt>
                <c:pt idx="9">
                  <c:v>7936152.1000000015</c:v>
                </c:pt>
                <c:pt idx="10">
                  <c:v>7657227.1500000004</c:v>
                </c:pt>
                <c:pt idx="11">
                  <c:v>8310974.6499999985</c:v>
                </c:pt>
                <c:pt idx="12">
                  <c:v>8841342.75</c:v>
                </c:pt>
                <c:pt idx="13">
                  <c:v>5237566.7999999989</c:v>
                </c:pt>
                <c:pt idx="14">
                  <c:v>5989873.4500000011</c:v>
                </c:pt>
                <c:pt idx="15">
                  <c:v>9419227.2750000022</c:v>
                </c:pt>
                <c:pt idx="16">
                  <c:v>7359178.5500000007</c:v>
                </c:pt>
                <c:pt idx="17">
                  <c:v>8180177.375</c:v>
                </c:pt>
                <c:pt idx="18">
                  <c:v>7340529.375</c:v>
                </c:pt>
                <c:pt idx="19">
                  <c:v>8528727.875</c:v>
                </c:pt>
                <c:pt idx="20">
                  <c:v>6678299.5499999989</c:v>
                </c:pt>
                <c:pt idx="21">
                  <c:v>8771393.049999997</c:v>
                </c:pt>
                <c:pt idx="22">
                  <c:v>9042604.3999999985</c:v>
                </c:pt>
                <c:pt idx="23">
                  <c:v>8641085.4499999993</c:v>
                </c:pt>
              </c:numCache>
            </c:numRef>
          </c:val>
          <c:extLst>
            <c:ext xmlns:c16="http://schemas.microsoft.com/office/drawing/2014/chart" uri="{C3380CC4-5D6E-409C-BE32-E72D297353CC}">
              <c16:uniqueId val="{00000001-18BD-4AC8-A69D-1F97C9BD8ED0}"/>
            </c:ext>
          </c:extLst>
        </c:ser>
        <c:dLbls>
          <c:showLegendKey val="0"/>
          <c:showVal val="0"/>
          <c:showCatName val="0"/>
          <c:showSerName val="0"/>
          <c:showPercent val="0"/>
          <c:showBubbleSize val="0"/>
        </c:dLbls>
        <c:gapWidth val="219"/>
        <c:overlap val="-27"/>
        <c:axId val="1638103072"/>
        <c:axId val="1337427680"/>
      </c:barChart>
      <c:lineChart>
        <c:grouping val="standard"/>
        <c:varyColors val="0"/>
        <c:ser>
          <c:idx val="2"/>
          <c:order val="2"/>
          <c:tx>
            <c:strRef>
              <c:f>Analyze!$F$39</c:f>
              <c:strCache>
                <c:ptCount val="1"/>
                <c:pt idx="0">
                  <c:v>Profit Margin</c:v>
                </c:pt>
              </c:strCache>
            </c:strRef>
          </c:tx>
          <c:spPr>
            <a:ln w="28575" cap="rnd">
              <a:solidFill>
                <a:srgbClr val="FFC000"/>
              </a:solidFill>
              <a:round/>
            </a:ln>
            <a:effectLst/>
          </c:spPr>
          <c:marker>
            <c:symbol val="none"/>
          </c:marker>
          <c:cat>
            <c:strRef>
              <c:f>Analyze!$C$40:$C$64</c:f>
              <c:strCache>
                <c:ptCount val="24"/>
                <c:pt idx="0">
                  <c:v>2020-01</c:v>
                </c:pt>
                <c:pt idx="1">
                  <c:v>2020-02</c:v>
                </c:pt>
                <c:pt idx="2">
                  <c:v>2020-03</c:v>
                </c:pt>
                <c:pt idx="3">
                  <c:v>2020-04</c:v>
                </c:pt>
                <c:pt idx="4">
                  <c:v>2020-05</c:v>
                </c:pt>
                <c:pt idx="5">
                  <c:v>2020-06</c:v>
                </c:pt>
                <c:pt idx="6">
                  <c:v>2020-07</c:v>
                </c:pt>
                <c:pt idx="7">
                  <c:v>2020-08</c:v>
                </c:pt>
                <c:pt idx="8">
                  <c:v>2020-09</c:v>
                </c:pt>
                <c:pt idx="9">
                  <c:v>2020-10</c:v>
                </c:pt>
                <c:pt idx="10">
                  <c:v>2020-11</c:v>
                </c:pt>
                <c:pt idx="11">
                  <c:v>2020-12</c:v>
                </c:pt>
                <c:pt idx="12">
                  <c:v>2021-01</c:v>
                </c:pt>
                <c:pt idx="13">
                  <c:v>2021-02</c:v>
                </c:pt>
                <c:pt idx="14">
                  <c:v>2021-03</c:v>
                </c:pt>
                <c:pt idx="15">
                  <c:v>2021-04</c:v>
                </c:pt>
                <c:pt idx="16">
                  <c:v>2021-05</c:v>
                </c:pt>
                <c:pt idx="17">
                  <c:v>2021-06</c:v>
                </c:pt>
                <c:pt idx="18">
                  <c:v>2021-07</c:v>
                </c:pt>
                <c:pt idx="19">
                  <c:v>2021-08</c:v>
                </c:pt>
                <c:pt idx="20">
                  <c:v>2021-09</c:v>
                </c:pt>
                <c:pt idx="21">
                  <c:v>2021-10</c:v>
                </c:pt>
                <c:pt idx="22">
                  <c:v>2021-11</c:v>
                </c:pt>
                <c:pt idx="23">
                  <c:v>2021-12</c:v>
                </c:pt>
              </c:strCache>
            </c:strRef>
          </c:cat>
          <c:val>
            <c:numRef>
              <c:f>Analyze!$F$40:$F$64</c:f>
              <c:numCache>
                <c:formatCode>0%</c:formatCode>
                <c:ptCount val="24"/>
                <c:pt idx="0">
                  <c:v>0.52251330996111967</c:v>
                </c:pt>
                <c:pt idx="1">
                  <c:v>0.49444412205582</c:v>
                </c:pt>
                <c:pt idx="2">
                  <c:v>0.49748192051803264</c:v>
                </c:pt>
                <c:pt idx="3">
                  <c:v>0.51023384222503998</c:v>
                </c:pt>
                <c:pt idx="4">
                  <c:v>0.48763573934295862</c:v>
                </c:pt>
                <c:pt idx="5">
                  <c:v>0.48562074473023331</c:v>
                </c:pt>
                <c:pt idx="6">
                  <c:v>0.48409794146415713</c:v>
                </c:pt>
                <c:pt idx="7">
                  <c:v>0.48055015392149247</c:v>
                </c:pt>
                <c:pt idx="8">
                  <c:v>0.48756111583734768</c:v>
                </c:pt>
                <c:pt idx="9">
                  <c:v>0.48075043923367916</c:v>
                </c:pt>
                <c:pt idx="10">
                  <c:v>0.51698300396719177</c:v>
                </c:pt>
                <c:pt idx="11">
                  <c:v>0.49851857026177454</c:v>
                </c:pt>
                <c:pt idx="12">
                  <c:v>0.50630002272993391</c:v>
                </c:pt>
                <c:pt idx="13">
                  <c:v>0.50948873829269392</c:v>
                </c:pt>
                <c:pt idx="14">
                  <c:v>0.45534822714081091</c:v>
                </c:pt>
                <c:pt idx="15">
                  <c:v>0.48460594634217591</c:v>
                </c:pt>
                <c:pt idx="16">
                  <c:v>0.50090474277046992</c:v>
                </c:pt>
                <c:pt idx="17">
                  <c:v>0.50933740213281187</c:v>
                </c:pt>
                <c:pt idx="18">
                  <c:v>0.49497080772070118</c:v>
                </c:pt>
                <c:pt idx="19">
                  <c:v>0.49283745969663684</c:v>
                </c:pt>
                <c:pt idx="20">
                  <c:v>0.49818626892904944</c:v>
                </c:pt>
                <c:pt idx="21">
                  <c:v>0.48881611020006083</c:v>
                </c:pt>
                <c:pt idx="22">
                  <c:v>0.50674594493323055</c:v>
                </c:pt>
                <c:pt idx="23">
                  <c:v>0.45946557641879016</c:v>
                </c:pt>
              </c:numCache>
            </c:numRef>
          </c:val>
          <c:smooth val="1"/>
          <c:extLst>
            <c:ext xmlns:c16="http://schemas.microsoft.com/office/drawing/2014/chart" uri="{C3380CC4-5D6E-409C-BE32-E72D297353CC}">
              <c16:uniqueId val="{00000002-18BD-4AC8-A69D-1F97C9BD8ED0}"/>
            </c:ext>
          </c:extLst>
        </c:ser>
        <c:dLbls>
          <c:showLegendKey val="0"/>
          <c:showVal val="0"/>
          <c:showCatName val="0"/>
          <c:showSerName val="0"/>
          <c:showPercent val="0"/>
          <c:showBubbleSize val="0"/>
        </c:dLbls>
        <c:marker val="1"/>
        <c:smooth val="0"/>
        <c:axId val="64111424"/>
        <c:axId val="64109024"/>
      </c:lineChart>
      <c:catAx>
        <c:axId val="1638103072"/>
        <c:scaling>
          <c:orientation val="minMax"/>
        </c:scaling>
        <c:delete val="0"/>
        <c:axPos val="b"/>
        <c:numFmt formatCode="General" sourceLinked="1"/>
        <c:majorTickMark val="none"/>
        <c:minorTickMark val="none"/>
        <c:tickLblPos val="nextTo"/>
        <c:spPr>
          <a:noFill/>
          <a:ln w="9525" cap="flat" cmpd="sng" algn="ctr">
            <a:no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crossAx val="1337427680"/>
        <c:crosses val="autoZero"/>
        <c:auto val="1"/>
        <c:lblAlgn val="ctr"/>
        <c:lblOffset val="100"/>
        <c:noMultiLvlLbl val="0"/>
      </c:catAx>
      <c:valAx>
        <c:axId val="1337427680"/>
        <c:scaling>
          <c:orientation val="minMax"/>
        </c:scaling>
        <c:delete val="0"/>
        <c:axPos val="l"/>
        <c:numFmt formatCode="0,,\ &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crossAx val="1638103072"/>
        <c:crosses val="autoZero"/>
        <c:crossBetween val="between"/>
      </c:valAx>
      <c:valAx>
        <c:axId val="64109024"/>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crossAx val="64111424"/>
        <c:crosses val="max"/>
        <c:crossBetween val="between"/>
      </c:valAx>
      <c:catAx>
        <c:axId val="64111424"/>
        <c:scaling>
          <c:orientation val="minMax"/>
        </c:scaling>
        <c:delete val="1"/>
        <c:axPos val="b"/>
        <c:numFmt formatCode="General" sourceLinked="1"/>
        <c:majorTickMark val="out"/>
        <c:minorTickMark val="none"/>
        <c:tickLblPos val="nextTo"/>
        <c:crossAx val="64109024"/>
        <c:crosses val="autoZero"/>
        <c:auto val="1"/>
        <c:lblAlgn val="ctr"/>
        <c:lblOffset val="100"/>
        <c:noMultiLvlLbl val="0"/>
      </c:catAx>
      <c:spPr>
        <a:noFill/>
        <a:ln>
          <a:noFill/>
        </a:ln>
        <a:effectLst/>
      </c:spPr>
    </c:plotArea>
    <c:legend>
      <c:legendPos val="r"/>
      <c:layout>
        <c:manualLayout>
          <c:xMode val="edge"/>
          <c:yMode val="edge"/>
          <c:x val="0.49028933883264592"/>
          <c:y val="2.0114876944729741E-3"/>
          <c:w val="0.44589911490015005"/>
          <c:h val="8.77639570416016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03507516105939"/>
          <c:y val="7.1197411003236247E-2"/>
          <c:w val="0.82093462180863741"/>
          <c:h val="0.71552291540480528"/>
        </c:manualLayout>
      </c:layout>
      <c:scatterChart>
        <c:scatterStyle val="lineMarker"/>
        <c:varyColors val="0"/>
        <c:ser>
          <c:idx val="0"/>
          <c:order val="0"/>
          <c:tx>
            <c:v>Product</c:v>
          </c:tx>
          <c:spPr>
            <a:ln w="25400" cap="rnd">
              <a:noFill/>
              <a:round/>
            </a:ln>
            <a:effectLst/>
          </c:spPr>
          <c:marker>
            <c:symbol val="circle"/>
            <c:size val="18"/>
            <c:spPr>
              <a:solidFill>
                <a:srgbClr val="287E8F">
                  <a:alpha val="50000"/>
                </a:srgbClr>
              </a:solidFill>
              <a:ln w="9525">
                <a:solidFill>
                  <a:srgbClr val="287E8F"/>
                </a:solidFill>
              </a:ln>
              <a:effectLst/>
            </c:spPr>
          </c:marker>
          <c:dPt>
            <c:idx val="0"/>
            <c:marker>
              <c:symbol val="circle"/>
              <c:size val="18"/>
              <c:spPr>
                <a:solidFill>
                  <a:srgbClr val="E85E76">
                    <a:alpha val="50000"/>
                  </a:srgbClr>
                </a:solidFill>
                <a:ln w="9525">
                  <a:solidFill>
                    <a:srgbClr val="E85E76"/>
                  </a:solidFill>
                </a:ln>
                <a:effectLst/>
              </c:spPr>
            </c:marker>
            <c:bubble3D val="0"/>
            <c:extLst>
              <c:ext xmlns:c16="http://schemas.microsoft.com/office/drawing/2014/chart" uri="{C3380CC4-5D6E-409C-BE32-E72D297353CC}">
                <c16:uniqueId val="{00000000-87D5-4888-9B95-31FD6042A9D4}"/>
              </c:ext>
            </c:extLst>
          </c:dPt>
          <c:dLbls>
            <c:dLbl>
              <c:idx val="0"/>
              <c:layout>
                <c:manualLayout>
                  <c:x val="-8.1458880139981486E-3"/>
                  <c:y val="-6.0150554097404579E-2"/>
                </c:manualLayout>
              </c:layout>
              <c:tx>
                <c:rich>
                  <a:bodyPr/>
                  <a:lstStyle/>
                  <a:p>
                    <a:fld id="{81267996-D63D-40C1-9E91-32DB5D1F333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87D5-4888-9B95-31FD6042A9D4}"/>
                </c:ext>
              </c:extLst>
            </c:dLbl>
            <c:dLbl>
              <c:idx val="1"/>
              <c:layout>
                <c:manualLayout>
                  <c:x val="-0.23567883560009545"/>
                  <c:y val="3.8869607318502544E-2"/>
                </c:manualLayout>
              </c:layout>
              <c:tx>
                <c:rich>
                  <a:bodyPr/>
                  <a:lstStyle/>
                  <a:p>
                    <a:fld id="{27F0BEB8-C04E-4DF7-8DD2-950A91A818B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87D5-4888-9B95-31FD6042A9D4}"/>
                </c:ext>
              </c:extLst>
            </c:dLbl>
            <c:dLbl>
              <c:idx val="2"/>
              <c:layout>
                <c:manualLayout>
                  <c:x val="-1.7437365783823588E-3"/>
                  <c:y val="8.8353523117302532E-2"/>
                </c:manualLayout>
              </c:layout>
              <c:tx>
                <c:rich>
                  <a:bodyPr/>
                  <a:lstStyle/>
                  <a:p>
                    <a:fld id="{06BA6C92-245B-4B65-B76A-7F0935B808C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87D5-4888-9B95-31FD6042A9D4}"/>
                </c:ext>
              </c:extLst>
            </c:dLbl>
            <c:dLbl>
              <c:idx val="3"/>
              <c:layout>
                <c:manualLayout>
                  <c:x val="-4.3909090909090967E-2"/>
                  <c:y val="-0.13101958409045023"/>
                </c:manualLayout>
              </c:layout>
              <c:tx>
                <c:rich>
                  <a:bodyPr/>
                  <a:lstStyle/>
                  <a:p>
                    <a:fld id="{0A6E1DB0-5CBB-48AE-8E48-8FF96F2C887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87D5-4888-9B95-31FD6042A9D4}"/>
                </c:ext>
              </c:extLst>
            </c:dLbl>
            <c:dLbl>
              <c:idx val="4"/>
              <c:layout>
                <c:manualLayout>
                  <c:x val="-0.21949821045096635"/>
                  <c:y val="-9.2694238462910587E-3"/>
                </c:manualLayout>
              </c:layout>
              <c:tx>
                <c:rich>
                  <a:bodyPr/>
                  <a:lstStyle/>
                  <a:p>
                    <a:fld id="{7D68EF82-65DE-40FF-9EA9-5BD1B8A65BC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87D5-4888-9B95-31FD6042A9D4}"/>
                </c:ext>
              </c:extLst>
            </c:dLbl>
            <c:dLbl>
              <c:idx val="5"/>
              <c:layout>
                <c:manualLayout>
                  <c:x val="1.1173466952994456E-2"/>
                  <c:y val="5.9458913789622453E-3"/>
                </c:manualLayout>
              </c:layout>
              <c:tx>
                <c:rich>
                  <a:bodyPr/>
                  <a:lstStyle/>
                  <a:p>
                    <a:fld id="{A26352F6-6B39-469C-9A24-E65F4D53230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87D5-4888-9B95-31FD6042A9D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Analyze!$I$68:$I$73</c:f>
              <c:numCache>
                <c:formatCode>General</c:formatCode>
                <c:ptCount val="6"/>
                <c:pt idx="0">
                  <c:v>19.400000000000013</c:v>
                </c:pt>
                <c:pt idx="1">
                  <c:v>9.15</c:v>
                </c:pt>
                <c:pt idx="2">
                  <c:v>11.100000000000003</c:v>
                </c:pt>
                <c:pt idx="3">
                  <c:v>10.850000000000007</c:v>
                </c:pt>
                <c:pt idx="4">
                  <c:v>8.6499999999999968</c:v>
                </c:pt>
                <c:pt idx="5">
                  <c:v>9.800000000000006</c:v>
                </c:pt>
              </c:numCache>
            </c:numRef>
          </c:xVal>
          <c:yVal>
            <c:numRef>
              <c:f>Analyze!$J$68:$J$73</c:f>
              <c:numCache>
                <c:formatCode>0.0,,\ "M"</c:formatCode>
                <c:ptCount val="6"/>
                <c:pt idx="0">
                  <c:v>29676352.850000016</c:v>
                </c:pt>
                <c:pt idx="1">
                  <c:v>17514671.899999984</c:v>
                </c:pt>
                <c:pt idx="2">
                  <c:v>17190583.500000015</c:v>
                </c:pt>
                <c:pt idx="3">
                  <c:v>21155627.224999987</c:v>
                </c:pt>
                <c:pt idx="4">
                  <c:v>43979162.049999982</c:v>
                </c:pt>
                <c:pt idx="5">
                  <c:v>45766621.25</c:v>
                </c:pt>
              </c:numCache>
            </c:numRef>
          </c:yVal>
          <c:smooth val="0"/>
          <c:extLst>
            <c:ext xmlns:c15="http://schemas.microsoft.com/office/drawing/2012/chart" uri="{02D57815-91ED-43cb-92C2-25804820EDAC}">
              <c15:datalabelsRange>
                <c15:f>Analyze!$H$68:$H$73</c15:f>
                <c15:dlblRangeCache>
                  <c:ptCount val="6"/>
                  <c:pt idx="0">
                    <c:v>City Cruiser</c:v>
                  </c:pt>
                  <c:pt idx="1">
                    <c:v>Road Racer</c:v>
                  </c:pt>
                  <c:pt idx="2">
                    <c:v>Speedster</c:v>
                  </c:pt>
                  <c:pt idx="3">
                    <c:v>Trail Master</c:v>
                  </c:pt>
                  <c:pt idx="4">
                    <c:v>X-Terrain</c:v>
                  </c:pt>
                  <c:pt idx="5">
                    <c:v>Yellow Edition</c:v>
                  </c:pt>
                </c15:dlblRangeCache>
              </c15:datalabelsRange>
            </c:ext>
            <c:ext xmlns:c16="http://schemas.microsoft.com/office/drawing/2014/chart" uri="{C3380CC4-5D6E-409C-BE32-E72D297353CC}">
              <c16:uniqueId val="{00000006-87D5-4888-9B95-31FD6042A9D4}"/>
            </c:ext>
          </c:extLst>
        </c:ser>
        <c:dLbls>
          <c:showLegendKey val="0"/>
          <c:showVal val="0"/>
          <c:showCatName val="0"/>
          <c:showSerName val="0"/>
          <c:showPercent val="0"/>
          <c:showBubbleSize val="0"/>
        </c:dLbls>
        <c:axId val="1527265856"/>
        <c:axId val="1527284096"/>
      </c:scatterChart>
      <c:valAx>
        <c:axId val="15272658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900" b="1">
                    <a:latin typeface="Segoe UI" panose="020B0502040204020203" pitchFamily="34" charset="0"/>
                    <a:cs typeface="Segoe UI" panose="020B0502040204020203" pitchFamily="34" charset="0"/>
                  </a:rPr>
                  <a:t>Discount</a:t>
                </a:r>
                <a:r>
                  <a:rPr lang="en-US" sz="900" b="1" baseline="0">
                    <a:latin typeface="Segoe UI" panose="020B0502040204020203" pitchFamily="34" charset="0"/>
                    <a:cs typeface="Segoe UI" panose="020B0502040204020203" pitchFamily="34" charset="0"/>
                  </a:rPr>
                  <a:t> Rate (%)</a:t>
                </a:r>
                <a:endParaRPr lang="en-US" sz="900" b="1">
                  <a:latin typeface="Segoe UI" panose="020B0502040204020203" pitchFamily="34" charset="0"/>
                  <a:cs typeface="Segoe UI" panose="020B0502040204020203" pitchFamily="34" charset="0"/>
                </a:endParaRPr>
              </a:p>
            </c:rich>
          </c:tx>
          <c:layout>
            <c:manualLayout>
              <c:xMode val="edge"/>
              <c:yMode val="edge"/>
              <c:x val="0.43782820329277022"/>
              <c:y val="0.8836893203883494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crossAx val="1527284096"/>
        <c:crosses val="autoZero"/>
        <c:crossBetween val="midCat"/>
      </c:valAx>
      <c:valAx>
        <c:axId val="1527284096"/>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900" b="1">
                    <a:latin typeface="Segoe UI" panose="020B0502040204020203" pitchFamily="34" charset="0"/>
                    <a:cs typeface="Segoe UI" panose="020B0502040204020203" pitchFamily="34" charset="0"/>
                  </a:rPr>
                  <a:t>Profit (M)</a:t>
                </a:r>
                <a:endParaRPr lang="en-US" b="1">
                  <a:latin typeface="Segoe UI" panose="020B0502040204020203" pitchFamily="34" charset="0"/>
                  <a:cs typeface="Segoe UI" panose="020B0502040204020203" pitchFamily="34" charset="0"/>
                </a:endParaRPr>
              </a:p>
            </c:rich>
          </c:tx>
          <c:layout>
            <c:manualLayout>
              <c:xMode val="edge"/>
              <c:yMode val="edge"/>
              <c:x val="1.5151515151515152E-2"/>
              <c:y val="0.20586295645083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crossAx val="152726585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643774178544978"/>
          <c:y val="5.0925925925925923E-2"/>
          <c:w val="0.72901353960248894"/>
          <c:h val="0.89814814814814814"/>
        </c:manualLayout>
      </c:layout>
      <c:barChart>
        <c:barDir val="bar"/>
        <c:grouping val="clustered"/>
        <c:varyColors val="0"/>
        <c:dLbls>
          <c:showLegendKey val="0"/>
          <c:showVal val="0"/>
          <c:showCatName val="0"/>
          <c:showSerName val="0"/>
          <c:showPercent val="0"/>
          <c:showBubbleSize val="0"/>
        </c:dLbls>
        <c:gapWidth val="182"/>
        <c:axId val="354157151"/>
        <c:axId val="354155231"/>
      </c:barChart>
      <c:catAx>
        <c:axId val="354157151"/>
        <c:scaling>
          <c:orientation val="minMax"/>
        </c:scaling>
        <c:delete val="1"/>
        <c:axPos val="l"/>
        <c:numFmt formatCode="General" sourceLinked="1"/>
        <c:majorTickMark val="none"/>
        <c:minorTickMark val="none"/>
        <c:tickLblPos val="nextTo"/>
        <c:crossAx val="354155231"/>
        <c:crosses val="autoZero"/>
        <c:auto val="1"/>
        <c:lblAlgn val="ctr"/>
        <c:lblOffset val="100"/>
        <c:noMultiLvlLbl val="0"/>
      </c:catAx>
      <c:valAx>
        <c:axId val="354155231"/>
        <c:scaling>
          <c:orientation val="minMax"/>
        </c:scaling>
        <c:delete val="1"/>
        <c:axPos val="b"/>
        <c:numFmt formatCode="0.0,,\ &quot;M&quot;" sourceLinked="1"/>
        <c:majorTickMark val="none"/>
        <c:minorTickMark val="none"/>
        <c:tickLblPos val="nextTo"/>
        <c:crossAx val="35415715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ze!$H$16"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CheckBox" checked="Checked" fmlaLink="Analyze!$I$28" lockText="1" noThreeD="1"/>
</file>

<file path=xl/ctrlProps/ctrlProp4.xml><?xml version="1.0" encoding="utf-8"?>
<formControlPr xmlns="http://schemas.microsoft.com/office/spreadsheetml/2009/9/main" objectType="CheckBox" checked="Checked" fmlaLink="Analyze!$J$28" lockText="1" noThreeD="1"/>
</file>

<file path=xl/ctrlProps/ctrlProp5.xml><?xml version="1.0" encoding="utf-8"?>
<formControlPr xmlns="http://schemas.microsoft.com/office/spreadsheetml/2009/9/main" objectType="CheckBox" checked="Checked" fmlaLink="Analyze!$K$28" lockText="1" noThreeD="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2.sv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1.png"/><Relationship Id="rId17" Type="http://schemas.openxmlformats.org/officeDocument/2006/relationships/chart" Target="../charts/chart5.xml"/><Relationship Id="rId2" Type="http://schemas.openxmlformats.org/officeDocument/2006/relationships/image" Target="../media/image2.svg"/><Relationship Id="rId16" Type="http://schemas.openxmlformats.org/officeDocument/2006/relationships/chart" Target="../charts/chart4.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chart" Target="../charts/chart1.xml"/><Relationship Id="rId5" Type="http://schemas.openxmlformats.org/officeDocument/2006/relationships/image" Target="../media/image5.png"/><Relationship Id="rId15" Type="http://schemas.openxmlformats.org/officeDocument/2006/relationships/chart" Target="../charts/chart3.xml"/><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chart" Target="../charts/chart2.xml"/></Relationships>
</file>

<file path=xl/drawings/_rels/drawing2.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209550</xdr:colOff>
      <xdr:row>1</xdr:row>
      <xdr:rowOff>4758</xdr:rowOff>
    </xdr:from>
    <xdr:to>
      <xdr:col>4</xdr:col>
      <xdr:colOff>3</xdr:colOff>
      <xdr:row>35</xdr:row>
      <xdr:rowOff>180971</xdr:rowOff>
    </xdr:to>
    <xdr:sp macro="" textlink="">
      <xdr:nvSpPr>
        <xdr:cNvPr id="2" name="Rectangle: Top Corners Rounded 1">
          <a:extLst>
            <a:ext uri="{FF2B5EF4-FFF2-40B4-BE49-F238E27FC236}">
              <a16:creationId xmlns:a16="http://schemas.microsoft.com/office/drawing/2014/main" id="{DA8E9617-116E-88DA-827B-34C01AB88CC0}"/>
            </a:ext>
          </a:extLst>
        </xdr:cNvPr>
        <xdr:cNvSpPr/>
      </xdr:nvSpPr>
      <xdr:spPr>
        <a:xfrm rot="16200000">
          <a:off x="-1697830" y="2712238"/>
          <a:ext cx="6653213" cy="1619253"/>
        </a:xfrm>
        <a:prstGeom prst="round2SameRect">
          <a:avLst/>
        </a:prstGeom>
        <a:solidFill>
          <a:sysClr val="window" lastClr="FFFFFF"/>
        </a:solidFill>
        <a:ln>
          <a:solidFill>
            <a:srgbClr val="DDE6ED"/>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142874</xdr:colOff>
      <xdr:row>4</xdr:row>
      <xdr:rowOff>172847</xdr:rowOff>
    </xdr:from>
    <xdr:to>
      <xdr:col>7</xdr:col>
      <xdr:colOff>325754</xdr:colOff>
      <xdr:row>10</xdr:row>
      <xdr:rowOff>172847</xdr:rowOff>
    </xdr:to>
    <xdr:sp macro="" textlink="">
      <xdr:nvSpPr>
        <xdr:cNvPr id="4" name="Rectangle: Rounded Corners 3">
          <a:extLst>
            <a:ext uri="{FF2B5EF4-FFF2-40B4-BE49-F238E27FC236}">
              <a16:creationId xmlns:a16="http://schemas.microsoft.com/office/drawing/2014/main" id="{942A5F77-0BD2-4FF0-87B9-06ABBF1B8DBD}"/>
            </a:ext>
          </a:extLst>
        </xdr:cNvPr>
        <xdr:cNvSpPr/>
      </xdr:nvSpPr>
      <xdr:spPr>
        <a:xfrm>
          <a:off x="2581274" y="934847"/>
          <a:ext cx="2011680" cy="1143000"/>
        </a:xfrm>
        <a:prstGeom prst="roundRect">
          <a:avLst/>
        </a:prstGeom>
        <a:solidFill>
          <a:sysClr val="window" lastClr="FFFFFF"/>
        </a:solidFill>
        <a:ln>
          <a:solidFill>
            <a:srgbClr val="DDE6ED"/>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142874</xdr:colOff>
      <xdr:row>1</xdr:row>
      <xdr:rowOff>4761</xdr:rowOff>
    </xdr:from>
    <xdr:to>
      <xdr:col>22</xdr:col>
      <xdr:colOff>19050</xdr:colOff>
      <xdr:row>4</xdr:row>
      <xdr:rowOff>23811</xdr:rowOff>
    </xdr:to>
    <xdr:sp macro="" textlink="">
      <xdr:nvSpPr>
        <xdr:cNvPr id="3" name="Rectangle: Rounded Corners 2">
          <a:extLst>
            <a:ext uri="{FF2B5EF4-FFF2-40B4-BE49-F238E27FC236}">
              <a16:creationId xmlns:a16="http://schemas.microsoft.com/office/drawing/2014/main" id="{171945B8-4F4B-36AE-B8B4-3E6185A717E0}"/>
            </a:ext>
          </a:extLst>
        </xdr:cNvPr>
        <xdr:cNvSpPr/>
      </xdr:nvSpPr>
      <xdr:spPr>
        <a:xfrm>
          <a:off x="2581274" y="195261"/>
          <a:ext cx="10848976" cy="590550"/>
        </a:xfrm>
        <a:prstGeom prst="roundRect">
          <a:avLst/>
        </a:prstGeom>
        <a:solidFill>
          <a:sysClr val="window" lastClr="FFFFFF"/>
        </a:solidFill>
        <a:ln>
          <a:solidFill>
            <a:srgbClr val="DDE6ED"/>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76199</xdr:colOff>
      <xdr:row>11</xdr:row>
      <xdr:rowOff>140906</xdr:rowOff>
    </xdr:from>
    <xdr:to>
      <xdr:col>22</xdr:col>
      <xdr:colOff>9525</xdr:colOff>
      <xdr:row>23</xdr:row>
      <xdr:rowOff>76898</xdr:rowOff>
    </xdr:to>
    <xdr:sp macro="" textlink="">
      <xdr:nvSpPr>
        <xdr:cNvPr id="11" name="Rectangle: Rounded Corners 10">
          <a:extLst>
            <a:ext uri="{FF2B5EF4-FFF2-40B4-BE49-F238E27FC236}">
              <a16:creationId xmlns:a16="http://schemas.microsoft.com/office/drawing/2014/main" id="{DEA0FC40-19D6-4CF9-BE4C-AC4C5FF0488A}"/>
            </a:ext>
          </a:extLst>
        </xdr:cNvPr>
        <xdr:cNvSpPr/>
      </xdr:nvSpPr>
      <xdr:spPr>
        <a:xfrm>
          <a:off x="9220199" y="2236406"/>
          <a:ext cx="4200526" cy="2221992"/>
        </a:xfrm>
        <a:prstGeom prst="roundRect">
          <a:avLst>
            <a:gd name="adj" fmla="val 8920"/>
          </a:avLst>
        </a:prstGeom>
        <a:solidFill>
          <a:sysClr val="window" lastClr="FFFFFF"/>
        </a:solidFill>
        <a:ln>
          <a:solidFill>
            <a:srgbClr val="DDE6ED"/>
          </a:solidFill>
        </a:ln>
        <a:effectLst>
          <a:outerShdw blurRad="50800" dist="38100" dir="2700000" algn="tl" rotWithShape="0">
            <a:prstClr val="black">
              <a:alpha val="40000"/>
            </a:prst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133350</xdr:colOff>
      <xdr:row>11</xdr:row>
      <xdr:rowOff>145669</xdr:rowOff>
    </xdr:from>
    <xdr:to>
      <xdr:col>14</xdr:col>
      <xdr:colOff>495300</xdr:colOff>
      <xdr:row>23</xdr:row>
      <xdr:rowOff>81661</xdr:rowOff>
    </xdr:to>
    <xdr:sp macro="" textlink="">
      <xdr:nvSpPr>
        <xdr:cNvPr id="9" name="Rectangle: Rounded Corners 8">
          <a:extLst>
            <a:ext uri="{FF2B5EF4-FFF2-40B4-BE49-F238E27FC236}">
              <a16:creationId xmlns:a16="http://schemas.microsoft.com/office/drawing/2014/main" id="{E69B7654-084F-4781-AC75-760F8E6643E8}"/>
            </a:ext>
          </a:extLst>
        </xdr:cNvPr>
        <xdr:cNvSpPr/>
      </xdr:nvSpPr>
      <xdr:spPr>
        <a:xfrm>
          <a:off x="2571750" y="2241169"/>
          <a:ext cx="6457950" cy="2221992"/>
        </a:xfrm>
        <a:prstGeom prst="roundRect">
          <a:avLst>
            <a:gd name="adj" fmla="val 8920"/>
          </a:avLst>
        </a:prstGeom>
        <a:solidFill>
          <a:sysClr val="window" lastClr="FFFFFF"/>
        </a:solidFill>
        <a:ln>
          <a:solidFill>
            <a:srgbClr val="DDE6ED"/>
          </a:solidFill>
        </a:ln>
        <a:effectLst>
          <a:outerShdw blurRad="50800" dist="38100" dir="2700000" algn="tl" rotWithShape="0">
            <a:prstClr val="black">
              <a:alpha val="40000"/>
            </a:prst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521017</xdr:colOff>
      <xdr:row>4</xdr:row>
      <xdr:rowOff>172847</xdr:rowOff>
    </xdr:from>
    <xdr:to>
      <xdr:col>11</xdr:col>
      <xdr:colOff>94297</xdr:colOff>
      <xdr:row>10</xdr:row>
      <xdr:rowOff>172847</xdr:rowOff>
    </xdr:to>
    <xdr:sp macro="" textlink="">
      <xdr:nvSpPr>
        <xdr:cNvPr id="5" name="Rectangle: Rounded Corners 4">
          <a:extLst>
            <a:ext uri="{FF2B5EF4-FFF2-40B4-BE49-F238E27FC236}">
              <a16:creationId xmlns:a16="http://schemas.microsoft.com/office/drawing/2014/main" id="{2F126523-AD92-450F-BD3C-06D712B132BE}"/>
            </a:ext>
          </a:extLst>
        </xdr:cNvPr>
        <xdr:cNvSpPr/>
      </xdr:nvSpPr>
      <xdr:spPr>
        <a:xfrm>
          <a:off x="4788217" y="934847"/>
          <a:ext cx="2011680" cy="1143000"/>
        </a:xfrm>
        <a:prstGeom prst="roundRect">
          <a:avLst/>
        </a:prstGeom>
        <a:solidFill>
          <a:sysClr val="window" lastClr="FFFFFF"/>
        </a:solidFill>
        <a:ln>
          <a:solidFill>
            <a:srgbClr val="DDE6ED"/>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289560</xdr:colOff>
      <xdr:row>4</xdr:row>
      <xdr:rowOff>172847</xdr:rowOff>
    </xdr:from>
    <xdr:to>
      <xdr:col>14</xdr:col>
      <xdr:colOff>472440</xdr:colOff>
      <xdr:row>10</xdr:row>
      <xdr:rowOff>172847</xdr:rowOff>
    </xdr:to>
    <xdr:sp macro="" textlink="">
      <xdr:nvSpPr>
        <xdr:cNvPr id="6" name="Rectangle: Rounded Corners 5">
          <a:extLst>
            <a:ext uri="{FF2B5EF4-FFF2-40B4-BE49-F238E27FC236}">
              <a16:creationId xmlns:a16="http://schemas.microsoft.com/office/drawing/2014/main" id="{927BC19A-AA87-4E90-90CC-389B071DE71F}"/>
            </a:ext>
          </a:extLst>
        </xdr:cNvPr>
        <xdr:cNvSpPr/>
      </xdr:nvSpPr>
      <xdr:spPr>
        <a:xfrm>
          <a:off x="6995160" y="934847"/>
          <a:ext cx="2011680" cy="1143000"/>
        </a:xfrm>
        <a:prstGeom prst="roundRect">
          <a:avLst/>
        </a:prstGeom>
        <a:solidFill>
          <a:sysClr val="window" lastClr="FFFFFF"/>
        </a:solidFill>
        <a:ln>
          <a:solidFill>
            <a:srgbClr val="DDE6ED"/>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58103</xdr:colOff>
      <xdr:row>4</xdr:row>
      <xdr:rowOff>172847</xdr:rowOff>
    </xdr:from>
    <xdr:to>
      <xdr:col>18</xdr:col>
      <xdr:colOff>240983</xdr:colOff>
      <xdr:row>10</xdr:row>
      <xdr:rowOff>172847</xdr:rowOff>
    </xdr:to>
    <xdr:sp macro="" textlink="">
      <xdr:nvSpPr>
        <xdr:cNvPr id="7" name="Rectangle: Rounded Corners 6">
          <a:extLst>
            <a:ext uri="{FF2B5EF4-FFF2-40B4-BE49-F238E27FC236}">
              <a16:creationId xmlns:a16="http://schemas.microsoft.com/office/drawing/2014/main" id="{DC4FE6F9-4E84-459E-84F5-7D21B2B988A0}"/>
            </a:ext>
          </a:extLst>
        </xdr:cNvPr>
        <xdr:cNvSpPr/>
      </xdr:nvSpPr>
      <xdr:spPr>
        <a:xfrm>
          <a:off x="9202103" y="934847"/>
          <a:ext cx="2011680" cy="1143000"/>
        </a:xfrm>
        <a:prstGeom prst="roundRect">
          <a:avLst/>
        </a:prstGeom>
        <a:solidFill>
          <a:sysClr val="window" lastClr="FFFFFF"/>
        </a:solidFill>
        <a:ln>
          <a:solidFill>
            <a:srgbClr val="DDE6ED"/>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436245</xdr:colOff>
      <xdr:row>4</xdr:row>
      <xdr:rowOff>182371</xdr:rowOff>
    </xdr:from>
    <xdr:to>
      <xdr:col>22</xdr:col>
      <xdr:colOff>9525</xdr:colOff>
      <xdr:row>10</xdr:row>
      <xdr:rowOff>182371</xdr:rowOff>
    </xdr:to>
    <xdr:sp macro="" textlink="">
      <xdr:nvSpPr>
        <xdr:cNvPr id="8" name="Rectangle: Rounded Corners 7">
          <a:extLst>
            <a:ext uri="{FF2B5EF4-FFF2-40B4-BE49-F238E27FC236}">
              <a16:creationId xmlns:a16="http://schemas.microsoft.com/office/drawing/2014/main" id="{1078140F-16CE-4374-AE5C-4D21DA0BE075}"/>
            </a:ext>
          </a:extLst>
        </xdr:cNvPr>
        <xdr:cNvSpPr/>
      </xdr:nvSpPr>
      <xdr:spPr>
        <a:xfrm>
          <a:off x="11409045" y="944371"/>
          <a:ext cx="2011680" cy="1143000"/>
        </a:xfrm>
        <a:prstGeom prst="roundRect">
          <a:avLst/>
        </a:prstGeom>
        <a:solidFill>
          <a:sysClr val="window" lastClr="FFFFFF"/>
        </a:solidFill>
        <a:ln>
          <a:solidFill>
            <a:srgbClr val="DDE6ED"/>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152400</xdr:colOff>
      <xdr:row>24</xdr:row>
      <xdr:rowOff>54482</xdr:rowOff>
    </xdr:from>
    <xdr:to>
      <xdr:col>9</xdr:col>
      <xdr:colOff>114300</xdr:colOff>
      <xdr:row>35</xdr:row>
      <xdr:rowOff>180974</xdr:rowOff>
    </xdr:to>
    <xdr:sp macro="" textlink="">
      <xdr:nvSpPr>
        <xdr:cNvPr id="12" name="Rectangle: Rounded Corners 11">
          <a:extLst>
            <a:ext uri="{FF2B5EF4-FFF2-40B4-BE49-F238E27FC236}">
              <a16:creationId xmlns:a16="http://schemas.microsoft.com/office/drawing/2014/main" id="{9BE0A68A-671F-4C2B-92EA-7C00A675E04F}"/>
            </a:ext>
          </a:extLst>
        </xdr:cNvPr>
        <xdr:cNvSpPr/>
      </xdr:nvSpPr>
      <xdr:spPr>
        <a:xfrm>
          <a:off x="2590800" y="4626482"/>
          <a:ext cx="3009900" cy="2221992"/>
        </a:xfrm>
        <a:prstGeom prst="roundRect">
          <a:avLst>
            <a:gd name="adj" fmla="val 8920"/>
          </a:avLst>
        </a:prstGeom>
        <a:solidFill>
          <a:sysClr val="window" lastClr="FFFFFF"/>
        </a:solidFill>
        <a:ln>
          <a:solidFill>
            <a:srgbClr val="DDE6ED"/>
          </a:solidFill>
        </a:ln>
        <a:effectLst>
          <a:outerShdw blurRad="50800" dist="38100" dir="2700000" algn="tl" rotWithShape="0">
            <a:prstClr val="black">
              <a:alpha val="40000"/>
            </a:prst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285750</xdr:colOff>
      <xdr:row>24</xdr:row>
      <xdr:rowOff>54482</xdr:rowOff>
    </xdr:from>
    <xdr:to>
      <xdr:col>14</xdr:col>
      <xdr:colOff>495300</xdr:colOff>
      <xdr:row>35</xdr:row>
      <xdr:rowOff>180974</xdr:rowOff>
    </xdr:to>
    <xdr:sp macro="" textlink="">
      <xdr:nvSpPr>
        <xdr:cNvPr id="13" name="Rectangle: Rounded Corners 12">
          <a:extLst>
            <a:ext uri="{FF2B5EF4-FFF2-40B4-BE49-F238E27FC236}">
              <a16:creationId xmlns:a16="http://schemas.microsoft.com/office/drawing/2014/main" id="{2AF790F9-0A35-48D8-8DF5-5B1832654C3E}"/>
            </a:ext>
          </a:extLst>
        </xdr:cNvPr>
        <xdr:cNvSpPr/>
      </xdr:nvSpPr>
      <xdr:spPr>
        <a:xfrm>
          <a:off x="5772150" y="4626482"/>
          <a:ext cx="3257550" cy="2221992"/>
        </a:xfrm>
        <a:prstGeom prst="roundRect">
          <a:avLst>
            <a:gd name="adj" fmla="val 8920"/>
          </a:avLst>
        </a:prstGeom>
        <a:solidFill>
          <a:sysClr val="window" lastClr="FFFFFF"/>
        </a:solidFill>
        <a:ln>
          <a:solidFill>
            <a:srgbClr val="DDE6ED"/>
          </a:solidFill>
        </a:ln>
        <a:effectLst>
          <a:outerShdw blurRad="50800" dist="38100" dir="2700000" algn="tl" rotWithShape="0">
            <a:prstClr val="black">
              <a:alpha val="40000"/>
            </a:prst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66675</xdr:colOff>
      <xdr:row>24</xdr:row>
      <xdr:rowOff>54482</xdr:rowOff>
    </xdr:from>
    <xdr:to>
      <xdr:col>22</xdr:col>
      <xdr:colOff>9525</xdr:colOff>
      <xdr:row>35</xdr:row>
      <xdr:rowOff>180974</xdr:rowOff>
    </xdr:to>
    <xdr:sp macro="" textlink="">
      <xdr:nvSpPr>
        <xdr:cNvPr id="14" name="Rectangle: Rounded Corners 13">
          <a:extLst>
            <a:ext uri="{FF2B5EF4-FFF2-40B4-BE49-F238E27FC236}">
              <a16:creationId xmlns:a16="http://schemas.microsoft.com/office/drawing/2014/main" id="{7EAB8390-BE1B-4BCD-B0E9-06D6D2C6E8B4}"/>
            </a:ext>
          </a:extLst>
        </xdr:cNvPr>
        <xdr:cNvSpPr/>
      </xdr:nvSpPr>
      <xdr:spPr>
        <a:xfrm>
          <a:off x="9210675" y="4626482"/>
          <a:ext cx="4210050" cy="2221992"/>
        </a:xfrm>
        <a:prstGeom prst="roundRect">
          <a:avLst>
            <a:gd name="adj" fmla="val 8920"/>
          </a:avLst>
        </a:prstGeom>
        <a:solidFill>
          <a:sysClr val="window" lastClr="FFFFFF"/>
        </a:solidFill>
        <a:ln>
          <a:solidFill>
            <a:srgbClr val="DDE6ED"/>
          </a:solidFill>
        </a:ln>
        <a:effectLst>
          <a:outerShdw blurRad="50800" dist="38100" dir="2700000" algn="tl" rotWithShape="0">
            <a:prstClr val="black">
              <a:alpha val="40000"/>
            </a:prst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228600</xdr:colOff>
      <xdr:row>5</xdr:row>
      <xdr:rowOff>28575</xdr:rowOff>
    </xdr:from>
    <xdr:to>
      <xdr:col>6</xdr:col>
      <xdr:colOff>457200</xdr:colOff>
      <xdr:row>6</xdr:row>
      <xdr:rowOff>114300</xdr:rowOff>
    </xdr:to>
    <xdr:sp macro="" textlink="">
      <xdr:nvSpPr>
        <xdr:cNvPr id="15" name="TextBox 14">
          <a:extLst>
            <a:ext uri="{FF2B5EF4-FFF2-40B4-BE49-F238E27FC236}">
              <a16:creationId xmlns:a16="http://schemas.microsoft.com/office/drawing/2014/main" id="{4946B95B-AE7C-4538-610F-C4931FBCDE68}"/>
            </a:ext>
          </a:extLst>
        </xdr:cNvPr>
        <xdr:cNvSpPr txBox="1"/>
      </xdr:nvSpPr>
      <xdr:spPr>
        <a:xfrm>
          <a:off x="2667000" y="981075"/>
          <a:ext cx="14478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a:solidFill>
                <a:schemeClr val="bg1">
                  <a:lumMod val="50000"/>
                </a:schemeClr>
              </a:solidFill>
              <a:latin typeface="Segoe UI" panose="020B0502040204020203" pitchFamily="34" charset="0"/>
              <a:ea typeface="ADLaM Display" panose="020F0502020204030204" pitchFamily="2" charset="0"/>
              <a:cs typeface="Segoe UI" panose="020B0502040204020203" pitchFamily="34" charset="0"/>
            </a:rPr>
            <a:t>Total Revenue</a:t>
          </a:r>
        </a:p>
      </xdr:txBody>
    </xdr:sp>
    <xdr:clientData/>
  </xdr:twoCellAnchor>
  <xdr:twoCellAnchor>
    <xdr:from>
      <xdr:col>8</xdr:col>
      <xdr:colOff>0</xdr:colOff>
      <xdr:row>5</xdr:row>
      <xdr:rowOff>28575</xdr:rowOff>
    </xdr:from>
    <xdr:to>
      <xdr:col>10</xdr:col>
      <xdr:colOff>228600</xdr:colOff>
      <xdr:row>6</xdr:row>
      <xdr:rowOff>114300</xdr:rowOff>
    </xdr:to>
    <xdr:sp macro="" textlink="">
      <xdr:nvSpPr>
        <xdr:cNvPr id="20" name="TextBox 19">
          <a:extLst>
            <a:ext uri="{FF2B5EF4-FFF2-40B4-BE49-F238E27FC236}">
              <a16:creationId xmlns:a16="http://schemas.microsoft.com/office/drawing/2014/main" id="{FB367E41-D726-44AD-A489-5DC06D2A13DB}"/>
            </a:ext>
          </a:extLst>
        </xdr:cNvPr>
        <xdr:cNvSpPr txBox="1"/>
      </xdr:nvSpPr>
      <xdr:spPr>
        <a:xfrm>
          <a:off x="4876800" y="981075"/>
          <a:ext cx="14478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a:solidFill>
                <a:schemeClr val="bg1">
                  <a:lumMod val="50000"/>
                </a:schemeClr>
              </a:solidFill>
              <a:latin typeface="Segoe UI" panose="020B0502040204020203" pitchFamily="34" charset="0"/>
              <a:ea typeface="ADLaM Display" panose="020F0502020204030204" pitchFamily="2" charset="0"/>
              <a:cs typeface="Segoe UI" panose="020B0502040204020203" pitchFamily="34" charset="0"/>
            </a:rPr>
            <a:t>Total</a:t>
          </a:r>
          <a:r>
            <a:rPr lang="en-US" sz="1200" b="1">
              <a:solidFill>
                <a:srgbClr val="15CAB6"/>
              </a:solidFill>
              <a:latin typeface="Segoe UI" panose="020B0502040204020203" pitchFamily="34" charset="0"/>
              <a:ea typeface="ADLaM Display" panose="020F0502020204030204" pitchFamily="2" charset="0"/>
              <a:cs typeface="Segoe UI" panose="020B0502040204020203" pitchFamily="34" charset="0"/>
            </a:rPr>
            <a:t> </a:t>
          </a:r>
          <a:r>
            <a:rPr lang="en-US" sz="1200" b="1">
              <a:solidFill>
                <a:schemeClr val="bg1">
                  <a:lumMod val="50000"/>
                </a:schemeClr>
              </a:solidFill>
              <a:latin typeface="Segoe UI" panose="020B0502040204020203" pitchFamily="34" charset="0"/>
              <a:ea typeface="ADLaM Display" panose="020F0502020204030204" pitchFamily="2" charset="0"/>
              <a:cs typeface="Segoe UI" panose="020B0502040204020203" pitchFamily="34" charset="0"/>
            </a:rPr>
            <a:t>Profit</a:t>
          </a:r>
        </a:p>
      </xdr:txBody>
    </xdr:sp>
    <xdr:clientData/>
  </xdr:twoCellAnchor>
  <xdr:twoCellAnchor>
    <xdr:from>
      <xdr:col>11</xdr:col>
      <xdr:colOff>390525</xdr:colOff>
      <xdr:row>5</xdr:row>
      <xdr:rowOff>28575</xdr:rowOff>
    </xdr:from>
    <xdr:to>
      <xdr:col>14</xdr:col>
      <xdr:colOff>9525</xdr:colOff>
      <xdr:row>6</xdr:row>
      <xdr:rowOff>114300</xdr:rowOff>
    </xdr:to>
    <xdr:sp macro="" textlink="">
      <xdr:nvSpPr>
        <xdr:cNvPr id="21" name="TextBox 20">
          <a:extLst>
            <a:ext uri="{FF2B5EF4-FFF2-40B4-BE49-F238E27FC236}">
              <a16:creationId xmlns:a16="http://schemas.microsoft.com/office/drawing/2014/main" id="{7F9EB143-6023-4EDE-B355-8CED6C6CB240}"/>
            </a:ext>
          </a:extLst>
        </xdr:cNvPr>
        <xdr:cNvSpPr txBox="1"/>
      </xdr:nvSpPr>
      <xdr:spPr>
        <a:xfrm>
          <a:off x="7096125" y="981075"/>
          <a:ext cx="14478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a:solidFill>
                <a:schemeClr val="bg1">
                  <a:lumMod val="50000"/>
                </a:schemeClr>
              </a:solidFill>
              <a:latin typeface="Segoe UI" panose="020B0502040204020203" pitchFamily="34" charset="0"/>
              <a:ea typeface="ADLaM Display" panose="020F0502020204030204" pitchFamily="2" charset="0"/>
              <a:cs typeface="Segoe UI" panose="020B0502040204020203" pitchFamily="34" charset="0"/>
            </a:rPr>
            <a:t>Profit</a:t>
          </a:r>
          <a:r>
            <a:rPr lang="en-US" sz="1200" b="1">
              <a:solidFill>
                <a:srgbClr val="15CAB6"/>
              </a:solidFill>
              <a:latin typeface="Segoe UI" panose="020B0502040204020203" pitchFamily="34" charset="0"/>
              <a:ea typeface="ADLaM Display" panose="020F0502020204030204" pitchFamily="2" charset="0"/>
              <a:cs typeface="Segoe UI" panose="020B0502040204020203" pitchFamily="34" charset="0"/>
            </a:rPr>
            <a:t> </a:t>
          </a:r>
          <a:r>
            <a:rPr lang="en-US" sz="1200" b="1">
              <a:solidFill>
                <a:schemeClr val="bg1">
                  <a:lumMod val="50000"/>
                </a:schemeClr>
              </a:solidFill>
              <a:latin typeface="Segoe UI" panose="020B0502040204020203" pitchFamily="34" charset="0"/>
              <a:ea typeface="ADLaM Display" panose="020F0502020204030204" pitchFamily="2" charset="0"/>
              <a:cs typeface="Segoe UI" panose="020B0502040204020203" pitchFamily="34" charset="0"/>
            </a:rPr>
            <a:t>Margin</a:t>
          </a:r>
        </a:p>
      </xdr:txBody>
    </xdr:sp>
    <xdr:clientData/>
  </xdr:twoCellAnchor>
  <xdr:twoCellAnchor>
    <xdr:from>
      <xdr:col>15</xdr:col>
      <xdr:colOff>142875</xdr:colOff>
      <xdr:row>5</xdr:row>
      <xdr:rowOff>28575</xdr:rowOff>
    </xdr:from>
    <xdr:to>
      <xdr:col>17</xdr:col>
      <xdr:colOff>371475</xdr:colOff>
      <xdr:row>6</xdr:row>
      <xdr:rowOff>114300</xdr:rowOff>
    </xdr:to>
    <xdr:sp macro="" textlink="">
      <xdr:nvSpPr>
        <xdr:cNvPr id="22" name="TextBox 21">
          <a:extLst>
            <a:ext uri="{FF2B5EF4-FFF2-40B4-BE49-F238E27FC236}">
              <a16:creationId xmlns:a16="http://schemas.microsoft.com/office/drawing/2014/main" id="{7DD75CCA-C29D-4660-9CED-2177CC00B167}"/>
            </a:ext>
          </a:extLst>
        </xdr:cNvPr>
        <xdr:cNvSpPr txBox="1"/>
      </xdr:nvSpPr>
      <xdr:spPr>
        <a:xfrm>
          <a:off x="9286875" y="981075"/>
          <a:ext cx="14478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a:solidFill>
                <a:schemeClr val="bg1">
                  <a:lumMod val="50000"/>
                </a:schemeClr>
              </a:solidFill>
              <a:latin typeface="Segoe UI" panose="020B0502040204020203" pitchFamily="34" charset="0"/>
              <a:ea typeface="ADLaM Display" panose="020F0502020204030204" pitchFamily="2" charset="0"/>
              <a:cs typeface="Segoe UI" panose="020B0502040204020203" pitchFamily="34" charset="0"/>
            </a:rPr>
            <a:t>Total Unit Sold</a:t>
          </a:r>
        </a:p>
      </xdr:txBody>
    </xdr:sp>
    <xdr:clientData/>
  </xdr:twoCellAnchor>
  <xdr:twoCellAnchor>
    <xdr:from>
      <xdr:col>18</xdr:col>
      <xdr:colOff>523875</xdr:colOff>
      <xdr:row>5</xdr:row>
      <xdr:rowOff>28575</xdr:rowOff>
    </xdr:from>
    <xdr:to>
      <xdr:col>21</xdr:col>
      <xdr:colOff>142875</xdr:colOff>
      <xdr:row>6</xdr:row>
      <xdr:rowOff>114300</xdr:rowOff>
    </xdr:to>
    <xdr:sp macro="" textlink="">
      <xdr:nvSpPr>
        <xdr:cNvPr id="23" name="TextBox 22">
          <a:extLst>
            <a:ext uri="{FF2B5EF4-FFF2-40B4-BE49-F238E27FC236}">
              <a16:creationId xmlns:a16="http://schemas.microsoft.com/office/drawing/2014/main" id="{88A1F228-89D3-4478-B723-F3F818247161}"/>
            </a:ext>
          </a:extLst>
        </xdr:cNvPr>
        <xdr:cNvSpPr txBox="1"/>
      </xdr:nvSpPr>
      <xdr:spPr>
        <a:xfrm>
          <a:off x="11496675" y="981075"/>
          <a:ext cx="14478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a:solidFill>
                <a:schemeClr val="bg1">
                  <a:lumMod val="50000"/>
                </a:schemeClr>
              </a:solidFill>
              <a:latin typeface="Segoe UI" panose="020B0502040204020203" pitchFamily="34" charset="0"/>
              <a:ea typeface="ADLaM Display" panose="020F0502020204030204" pitchFamily="2" charset="0"/>
              <a:cs typeface="Segoe UI" panose="020B0502040204020203" pitchFamily="34" charset="0"/>
            </a:rPr>
            <a:t>Total Customer</a:t>
          </a:r>
        </a:p>
      </xdr:txBody>
    </xdr:sp>
    <xdr:clientData/>
  </xdr:twoCellAnchor>
  <xdr:twoCellAnchor>
    <xdr:from>
      <xdr:col>4</xdr:col>
      <xdr:colOff>219074</xdr:colOff>
      <xdr:row>6</xdr:row>
      <xdr:rowOff>161925</xdr:rowOff>
    </xdr:from>
    <xdr:to>
      <xdr:col>6</xdr:col>
      <xdr:colOff>323849</xdr:colOff>
      <xdr:row>8</xdr:row>
      <xdr:rowOff>152400</xdr:rowOff>
    </xdr:to>
    <xdr:sp macro="" textlink="Analyze!C4">
      <xdr:nvSpPr>
        <xdr:cNvPr id="25" name="TextBox 24">
          <a:extLst>
            <a:ext uri="{FF2B5EF4-FFF2-40B4-BE49-F238E27FC236}">
              <a16:creationId xmlns:a16="http://schemas.microsoft.com/office/drawing/2014/main" id="{A024F22D-3A23-485C-A949-844E64D6105B}"/>
            </a:ext>
          </a:extLst>
        </xdr:cNvPr>
        <xdr:cNvSpPr txBox="1"/>
      </xdr:nvSpPr>
      <xdr:spPr>
        <a:xfrm>
          <a:off x="2657474" y="1304925"/>
          <a:ext cx="1323975"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99AA3E9-E81E-429D-89AD-F6F75F587ACA}" type="TxLink">
            <a:rPr lang="en-US" sz="1800" b="1" i="0" u="none" strike="noStrike">
              <a:solidFill>
                <a:srgbClr val="000000"/>
              </a:solidFill>
              <a:latin typeface="Segoe UI" panose="020B0502040204020203" pitchFamily="34" charset="0"/>
              <a:ea typeface="Calibri"/>
              <a:cs typeface="Segoe UI" panose="020B0502040204020203" pitchFamily="34" charset="0"/>
            </a:rPr>
            <a:pPr/>
            <a:t>355.12 M</a:t>
          </a:fld>
          <a:endParaRPr lang="en-US" sz="1800" b="1">
            <a:solidFill>
              <a:sysClr val="windowText" lastClr="000000"/>
            </a:solidFill>
            <a:latin typeface="Segoe UI" panose="020B0502040204020203" pitchFamily="34" charset="0"/>
            <a:ea typeface="ADLaM Display" panose="020F0502020204030204" pitchFamily="2" charset="0"/>
            <a:cs typeface="Segoe UI" panose="020B0502040204020203" pitchFamily="34" charset="0"/>
          </a:endParaRPr>
        </a:p>
      </xdr:txBody>
    </xdr:sp>
    <xdr:clientData/>
  </xdr:twoCellAnchor>
  <xdr:twoCellAnchor>
    <xdr:from>
      <xdr:col>7</xdr:col>
      <xdr:colOff>590549</xdr:colOff>
      <xdr:row>6</xdr:row>
      <xdr:rowOff>161925</xdr:rowOff>
    </xdr:from>
    <xdr:to>
      <xdr:col>10</xdr:col>
      <xdr:colOff>85724</xdr:colOff>
      <xdr:row>8</xdr:row>
      <xdr:rowOff>152400</xdr:rowOff>
    </xdr:to>
    <xdr:sp macro="" textlink="Analyze!D4">
      <xdr:nvSpPr>
        <xdr:cNvPr id="26" name="TextBox 25">
          <a:extLst>
            <a:ext uri="{FF2B5EF4-FFF2-40B4-BE49-F238E27FC236}">
              <a16:creationId xmlns:a16="http://schemas.microsoft.com/office/drawing/2014/main" id="{C878B76F-A089-4EFF-AAF4-8956EEDD3A02}"/>
            </a:ext>
          </a:extLst>
        </xdr:cNvPr>
        <xdr:cNvSpPr txBox="1"/>
      </xdr:nvSpPr>
      <xdr:spPr>
        <a:xfrm>
          <a:off x="4857749" y="1304925"/>
          <a:ext cx="1323975"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A1A2AD4-3296-4CE4-B58D-860C08ABBA33}" type="TxLink">
            <a:rPr lang="en-US" sz="1800" b="1" i="0" u="none" strike="noStrike">
              <a:solidFill>
                <a:srgbClr val="000000"/>
              </a:solidFill>
              <a:latin typeface="Segoe UI" panose="020B0502040204020203" pitchFamily="34" charset="0"/>
              <a:ea typeface="Calibri"/>
              <a:cs typeface="Segoe UI" panose="020B0502040204020203" pitchFamily="34" charset="0"/>
            </a:rPr>
            <a:pPr marL="0" indent="0"/>
            <a:t>175.28 M</a:t>
          </a:fld>
          <a:endParaRPr lang="en-US" sz="1800" b="1" i="0" u="none" strike="noStrike">
            <a:solidFill>
              <a:srgbClr val="000000"/>
            </a:solidFill>
            <a:latin typeface="Segoe UI" panose="020B0502040204020203" pitchFamily="34" charset="0"/>
            <a:ea typeface="Calibri"/>
            <a:cs typeface="Segoe UI" panose="020B0502040204020203" pitchFamily="34" charset="0"/>
          </a:endParaRPr>
        </a:p>
      </xdr:txBody>
    </xdr:sp>
    <xdr:clientData/>
  </xdr:twoCellAnchor>
  <xdr:twoCellAnchor>
    <xdr:from>
      <xdr:col>11</xdr:col>
      <xdr:colOff>380999</xdr:colOff>
      <xdr:row>6</xdr:row>
      <xdr:rowOff>152400</xdr:rowOff>
    </xdr:from>
    <xdr:to>
      <xdr:col>13</xdr:col>
      <xdr:colOff>485774</xdr:colOff>
      <xdr:row>8</xdr:row>
      <xdr:rowOff>142875</xdr:rowOff>
    </xdr:to>
    <xdr:sp macro="" textlink="Analyze!E4">
      <xdr:nvSpPr>
        <xdr:cNvPr id="27" name="TextBox 26">
          <a:extLst>
            <a:ext uri="{FF2B5EF4-FFF2-40B4-BE49-F238E27FC236}">
              <a16:creationId xmlns:a16="http://schemas.microsoft.com/office/drawing/2014/main" id="{3AC7322F-B965-4A26-918B-50185AAA03E2}"/>
            </a:ext>
          </a:extLst>
        </xdr:cNvPr>
        <xdr:cNvSpPr txBox="1"/>
      </xdr:nvSpPr>
      <xdr:spPr>
        <a:xfrm>
          <a:off x="7086599" y="1295400"/>
          <a:ext cx="1323975"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88ACEC6-22D8-49A2-8025-2F84ABEEE121}" type="TxLink">
            <a:rPr lang="en-US" sz="1800" b="1" i="0" u="none" strike="noStrike">
              <a:solidFill>
                <a:srgbClr val="000000"/>
              </a:solidFill>
              <a:latin typeface="Segoe UI" panose="020B0502040204020203" pitchFamily="34" charset="0"/>
              <a:ea typeface="Calibri"/>
              <a:cs typeface="Segoe UI" panose="020B0502040204020203" pitchFamily="34" charset="0"/>
            </a:rPr>
            <a:pPr marL="0" indent="0"/>
            <a:t>49.36%</a:t>
          </a:fld>
          <a:endParaRPr lang="en-US" sz="1800" b="1" i="0" u="none" strike="noStrike">
            <a:solidFill>
              <a:srgbClr val="000000"/>
            </a:solidFill>
            <a:latin typeface="Segoe UI" panose="020B0502040204020203" pitchFamily="34" charset="0"/>
            <a:ea typeface="Calibri"/>
            <a:cs typeface="Segoe UI" panose="020B0502040204020203" pitchFamily="34" charset="0"/>
          </a:endParaRPr>
        </a:p>
      </xdr:txBody>
    </xdr:sp>
    <xdr:clientData/>
  </xdr:twoCellAnchor>
  <xdr:twoCellAnchor>
    <xdr:from>
      <xdr:col>15</xdr:col>
      <xdr:colOff>142874</xdr:colOff>
      <xdr:row>6</xdr:row>
      <xdr:rowOff>171450</xdr:rowOff>
    </xdr:from>
    <xdr:to>
      <xdr:col>17</xdr:col>
      <xdr:colOff>247649</xdr:colOff>
      <xdr:row>8</xdr:row>
      <xdr:rowOff>161925</xdr:rowOff>
    </xdr:to>
    <xdr:sp macro="" textlink="Analyze!F4">
      <xdr:nvSpPr>
        <xdr:cNvPr id="28" name="TextBox 27">
          <a:extLst>
            <a:ext uri="{FF2B5EF4-FFF2-40B4-BE49-F238E27FC236}">
              <a16:creationId xmlns:a16="http://schemas.microsoft.com/office/drawing/2014/main" id="{89717359-625A-4CB0-B440-FAB4D56E9A25}"/>
            </a:ext>
          </a:extLst>
        </xdr:cNvPr>
        <xdr:cNvSpPr txBox="1"/>
      </xdr:nvSpPr>
      <xdr:spPr>
        <a:xfrm>
          <a:off x="9286874" y="1314450"/>
          <a:ext cx="1323975"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FF18E61-3EE5-48D0-8B93-DB9425095796}" type="TxLink">
            <a:rPr lang="en-US" sz="1800" b="1" i="0" u="none" strike="noStrike">
              <a:solidFill>
                <a:srgbClr val="000000"/>
              </a:solidFill>
              <a:latin typeface="Segoe UI" panose="020B0502040204020203" pitchFamily="34" charset="0"/>
              <a:ea typeface="Calibri"/>
              <a:cs typeface="Segoe UI" panose="020B0502040204020203" pitchFamily="34" charset="0"/>
            </a:rPr>
            <a:pPr marL="0" indent="0"/>
            <a:t>1.27 M</a:t>
          </a:fld>
          <a:endParaRPr lang="en-US" sz="1800" b="1" i="0" u="none" strike="noStrike">
            <a:solidFill>
              <a:srgbClr val="000000"/>
            </a:solidFill>
            <a:latin typeface="Segoe UI" panose="020B0502040204020203" pitchFamily="34" charset="0"/>
            <a:ea typeface="Calibri"/>
            <a:cs typeface="Segoe UI" panose="020B0502040204020203" pitchFamily="34" charset="0"/>
          </a:endParaRPr>
        </a:p>
      </xdr:txBody>
    </xdr:sp>
    <xdr:clientData/>
  </xdr:twoCellAnchor>
  <xdr:twoCellAnchor>
    <xdr:from>
      <xdr:col>18</xdr:col>
      <xdr:colOff>503873</xdr:colOff>
      <xdr:row>6</xdr:row>
      <xdr:rowOff>171450</xdr:rowOff>
    </xdr:from>
    <xdr:to>
      <xdr:col>20</xdr:col>
      <xdr:colOff>608648</xdr:colOff>
      <xdr:row>8</xdr:row>
      <xdr:rowOff>161925</xdr:rowOff>
    </xdr:to>
    <xdr:sp macro="" textlink="Analyze!G4">
      <xdr:nvSpPr>
        <xdr:cNvPr id="29" name="TextBox 28">
          <a:extLst>
            <a:ext uri="{FF2B5EF4-FFF2-40B4-BE49-F238E27FC236}">
              <a16:creationId xmlns:a16="http://schemas.microsoft.com/office/drawing/2014/main" id="{D6A9CA7D-717A-4E49-BB9D-2D15285E0F6C}"/>
            </a:ext>
          </a:extLst>
        </xdr:cNvPr>
        <xdr:cNvSpPr txBox="1"/>
      </xdr:nvSpPr>
      <xdr:spPr>
        <a:xfrm>
          <a:off x="11476673" y="1314450"/>
          <a:ext cx="1323975"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2E8CDCF-83D5-4AFE-B32E-F64F97BACE20}" type="TxLink">
            <a:rPr lang="en-US" sz="1800" b="1" i="0" u="none" strike="noStrike">
              <a:solidFill>
                <a:srgbClr val="000000"/>
              </a:solidFill>
              <a:latin typeface="Segoe UI" panose="020B0502040204020203" pitchFamily="34" charset="0"/>
              <a:ea typeface="Calibri"/>
              <a:cs typeface="Segoe UI" panose="020B0502040204020203" pitchFamily="34" charset="0"/>
            </a:rPr>
            <a:pPr marL="0" indent="0"/>
            <a:t>150</a:t>
          </a:fld>
          <a:endParaRPr lang="en-US" sz="1800" b="1" i="0" u="none" strike="noStrike">
            <a:solidFill>
              <a:srgbClr val="000000"/>
            </a:solidFill>
            <a:latin typeface="Segoe UI" panose="020B0502040204020203" pitchFamily="34" charset="0"/>
            <a:ea typeface="Calibri"/>
            <a:cs typeface="Segoe UI" panose="020B0502040204020203" pitchFamily="34" charset="0"/>
          </a:endParaRPr>
        </a:p>
      </xdr:txBody>
    </xdr:sp>
    <xdr:clientData/>
  </xdr:twoCellAnchor>
  <xdr:twoCellAnchor editAs="oneCell">
    <xdr:from>
      <xdr:col>17</xdr:col>
      <xdr:colOff>152400</xdr:colOff>
      <xdr:row>6</xdr:row>
      <xdr:rowOff>57150</xdr:rowOff>
    </xdr:from>
    <xdr:to>
      <xdr:col>18</xdr:col>
      <xdr:colOff>180975</xdr:colOff>
      <xdr:row>9</xdr:row>
      <xdr:rowOff>123825</xdr:rowOff>
    </xdr:to>
    <xdr:pic>
      <xdr:nvPicPr>
        <xdr:cNvPr id="31" name="Graphic 30" descr="Store with solid fill">
          <a:extLst>
            <a:ext uri="{FF2B5EF4-FFF2-40B4-BE49-F238E27FC236}">
              <a16:creationId xmlns:a16="http://schemas.microsoft.com/office/drawing/2014/main" id="{9207D8E0-A9F8-3FA3-93AB-9051F9BF237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515600" y="1200150"/>
          <a:ext cx="638175" cy="638175"/>
        </a:xfrm>
        <a:prstGeom prst="rect">
          <a:avLst/>
        </a:prstGeom>
      </xdr:spPr>
    </xdr:pic>
    <xdr:clientData/>
  </xdr:twoCellAnchor>
  <xdr:twoCellAnchor editAs="oneCell">
    <xdr:from>
      <xdr:col>6</xdr:col>
      <xdr:colOff>219075</xdr:colOff>
      <xdr:row>6</xdr:row>
      <xdr:rowOff>57150</xdr:rowOff>
    </xdr:from>
    <xdr:to>
      <xdr:col>7</xdr:col>
      <xdr:colOff>247650</xdr:colOff>
      <xdr:row>9</xdr:row>
      <xdr:rowOff>123825</xdr:rowOff>
    </xdr:to>
    <xdr:pic>
      <xdr:nvPicPr>
        <xdr:cNvPr id="33" name="Graphic 32" descr="Coins outline">
          <a:extLst>
            <a:ext uri="{FF2B5EF4-FFF2-40B4-BE49-F238E27FC236}">
              <a16:creationId xmlns:a16="http://schemas.microsoft.com/office/drawing/2014/main" id="{322F0FD3-D50D-6EC5-C21F-157BCD3793D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876675" y="1200150"/>
          <a:ext cx="638175" cy="638175"/>
        </a:xfrm>
        <a:prstGeom prst="rect">
          <a:avLst/>
        </a:prstGeom>
      </xdr:spPr>
    </xdr:pic>
    <xdr:clientData/>
  </xdr:twoCellAnchor>
  <xdr:twoCellAnchor editAs="oneCell">
    <xdr:from>
      <xdr:col>9</xdr:col>
      <xdr:colOff>597675</xdr:colOff>
      <xdr:row>6</xdr:row>
      <xdr:rowOff>57150</xdr:rowOff>
    </xdr:from>
    <xdr:to>
      <xdr:col>11</xdr:col>
      <xdr:colOff>16650</xdr:colOff>
      <xdr:row>9</xdr:row>
      <xdr:rowOff>123825</xdr:rowOff>
    </xdr:to>
    <xdr:pic>
      <xdr:nvPicPr>
        <xdr:cNvPr id="35" name="Graphic 34" descr="Money with solid fill">
          <a:extLst>
            <a:ext uri="{FF2B5EF4-FFF2-40B4-BE49-F238E27FC236}">
              <a16:creationId xmlns:a16="http://schemas.microsoft.com/office/drawing/2014/main" id="{0CAE8181-7338-7DDB-5E3F-46E86D21DF2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084075" y="1200150"/>
          <a:ext cx="638175" cy="638175"/>
        </a:xfrm>
        <a:prstGeom prst="rect">
          <a:avLst/>
        </a:prstGeom>
      </xdr:spPr>
    </xdr:pic>
    <xdr:clientData/>
  </xdr:twoCellAnchor>
  <xdr:twoCellAnchor editAs="oneCell">
    <xdr:from>
      <xdr:col>13</xdr:col>
      <xdr:colOff>390525</xdr:colOff>
      <xdr:row>6</xdr:row>
      <xdr:rowOff>57150</xdr:rowOff>
    </xdr:from>
    <xdr:to>
      <xdr:col>14</xdr:col>
      <xdr:colOff>419100</xdr:colOff>
      <xdr:row>9</xdr:row>
      <xdr:rowOff>123825</xdr:rowOff>
    </xdr:to>
    <xdr:pic>
      <xdr:nvPicPr>
        <xdr:cNvPr id="37" name="Graphic 36" descr="Bar graph with upward trend with solid fill">
          <a:extLst>
            <a:ext uri="{FF2B5EF4-FFF2-40B4-BE49-F238E27FC236}">
              <a16:creationId xmlns:a16="http://schemas.microsoft.com/office/drawing/2014/main" id="{E2B959E3-9833-8E2E-2C8A-1389397AADAD}"/>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8315325" y="1200150"/>
          <a:ext cx="638175" cy="638175"/>
        </a:xfrm>
        <a:prstGeom prst="rect">
          <a:avLst/>
        </a:prstGeom>
      </xdr:spPr>
    </xdr:pic>
    <xdr:clientData/>
  </xdr:twoCellAnchor>
  <xdr:twoCellAnchor editAs="oneCell">
    <xdr:from>
      <xdr:col>20</xdr:col>
      <xdr:colOff>476250</xdr:colOff>
      <xdr:row>6</xdr:row>
      <xdr:rowOff>57150</xdr:rowOff>
    </xdr:from>
    <xdr:to>
      <xdr:col>21</xdr:col>
      <xdr:colOff>504825</xdr:colOff>
      <xdr:row>9</xdr:row>
      <xdr:rowOff>123825</xdr:rowOff>
    </xdr:to>
    <xdr:pic>
      <xdr:nvPicPr>
        <xdr:cNvPr id="39" name="Graphic 38" descr="Customer review with solid fill">
          <a:extLst>
            <a:ext uri="{FF2B5EF4-FFF2-40B4-BE49-F238E27FC236}">
              <a16:creationId xmlns:a16="http://schemas.microsoft.com/office/drawing/2014/main" id="{08AE9CE9-E1F6-32E0-D956-DF232FA20634}"/>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668250" y="1200150"/>
          <a:ext cx="638175" cy="638175"/>
        </a:xfrm>
        <a:prstGeom prst="rect">
          <a:avLst/>
        </a:prstGeom>
      </xdr:spPr>
    </xdr:pic>
    <xdr:clientData/>
  </xdr:twoCellAnchor>
  <xdr:twoCellAnchor>
    <xdr:from>
      <xdr:col>4</xdr:col>
      <xdr:colOff>209549</xdr:colOff>
      <xdr:row>11</xdr:row>
      <xdr:rowOff>161925</xdr:rowOff>
    </xdr:from>
    <xdr:to>
      <xdr:col>9</xdr:col>
      <xdr:colOff>457200</xdr:colOff>
      <xdr:row>13</xdr:row>
      <xdr:rowOff>57150</xdr:rowOff>
    </xdr:to>
    <xdr:sp macro="" textlink="">
      <xdr:nvSpPr>
        <xdr:cNvPr id="41" name="TextBox 40">
          <a:extLst>
            <a:ext uri="{FF2B5EF4-FFF2-40B4-BE49-F238E27FC236}">
              <a16:creationId xmlns:a16="http://schemas.microsoft.com/office/drawing/2014/main" id="{4E025DE0-4E91-42D6-AEC7-766096F19FE6}"/>
            </a:ext>
          </a:extLst>
        </xdr:cNvPr>
        <xdr:cNvSpPr txBox="1"/>
      </xdr:nvSpPr>
      <xdr:spPr>
        <a:xfrm>
          <a:off x="2647949" y="2257425"/>
          <a:ext cx="3295651"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a:solidFill>
                <a:schemeClr val="bg1">
                  <a:lumMod val="50000"/>
                </a:schemeClr>
              </a:solidFill>
              <a:latin typeface="Segoe UI" panose="020B0502040204020203" pitchFamily="34" charset="0"/>
              <a:ea typeface="ADLaM Display" panose="020F0502020204030204" pitchFamily="2" charset="0"/>
              <a:cs typeface="Segoe UI" panose="020B0502040204020203" pitchFamily="34" charset="0"/>
            </a:rPr>
            <a:t>Revenue, Profit &amp; Profit Margin</a:t>
          </a:r>
          <a:r>
            <a:rPr lang="en-US" sz="1200" b="1" baseline="0">
              <a:solidFill>
                <a:schemeClr val="bg1">
                  <a:lumMod val="50000"/>
                </a:schemeClr>
              </a:solidFill>
              <a:latin typeface="Segoe UI" panose="020B0502040204020203" pitchFamily="34" charset="0"/>
              <a:ea typeface="ADLaM Display" panose="020F0502020204030204" pitchFamily="2" charset="0"/>
              <a:cs typeface="Segoe UI" panose="020B0502040204020203" pitchFamily="34" charset="0"/>
            </a:rPr>
            <a:t> by Month</a:t>
          </a:r>
          <a:endParaRPr lang="en-US" sz="1200" b="1">
            <a:solidFill>
              <a:schemeClr val="bg1">
                <a:lumMod val="50000"/>
              </a:schemeClr>
            </a:solidFill>
            <a:latin typeface="Segoe UI" panose="020B0502040204020203" pitchFamily="34" charset="0"/>
            <a:ea typeface="ADLaM Display" panose="020F0502020204030204" pitchFamily="2" charset="0"/>
            <a:cs typeface="Segoe UI" panose="020B0502040204020203" pitchFamily="34" charset="0"/>
          </a:endParaRPr>
        </a:p>
      </xdr:txBody>
    </xdr:sp>
    <xdr:clientData/>
  </xdr:twoCellAnchor>
  <xdr:twoCellAnchor>
    <xdr:from>
      <xdr:col>15</xdr:col>
      <xdr:colOff>171449</xdr:colOff>
      <xdr:row>11</xdr:row>
      <xdr:rowOff>180975</xdr:rowOff>
    </xdr:from>
    <xdr:to>
      <xdr:col>20</xdr:col>
      <xdr:colOff>396960</xdr:colOff>
      <xdr:row>13</xdr:row>
      <xdr:rowOff>76200</xdr:rowOff>
    </xdr:to>
    <xdr:sp macro="" textlink="">
      <xdr:nvSpPr>
        <xdr:cNvPr id="42" name="TextBox 41">
          <a:extLst>
            <a:ext uri="{FF2B5EF4-FFF2-40B4-BE49-F238E27FC236}">
              <a16:creationId xmlns:a16="http://schemas.microsoft.com/office/drawing/2014/main" id="{885DCA8E-6367-4BB0-A505-882FEC522746}"/>
            </a:ext>
          </a:extLst>
        </xdr:cNvPr>
        <xdr:cNvSpPr txBox="1"/>
      </xdr:nvSpPr>
      <xdr:spPr>
        <a:xfrm>
          <a:off x="9315449" y="2276475"/>
          <a:ext cx="3273511"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a:solidFill>
                <a:schemeClr val="bg1">
                  <a:lumMod val="50000"/>
                </a:schemeClr>
              </a:solidFill>
              <a:latin typeface="Segoe UI" panose="020B0502040204020203" pitchFamily="34" charset="0"/>
              <a:ea typeface="ADLaM Display" panose="020F0502020204030204" pitchFamily="2" charset="0"/>
              <a:cs typeface="Segoe UI" panose="020B0502040204020203" pitchFamily="34" charset="0"/>
            </a:rPr>
            <a:t>Profit vs. Discount</a:t>
          </a:r>
          <a:r>
            <a:rPr lang="en-US" sz="1200" b="1" baseline="0">
              <a:solidFill>
                <a:schemeClr val="bg1">
                  <a:lumMod val="50000"/>
                </a:schemeClr>
              </a:solidFill>
              <a:latin typeface="Segoe UI" panose="020B0502040204020203" pitchFamily="34" charset="0"/>
              <a:ea typeface="ADLaM Display" panose="020F0502020204030204" pitchFamily="2" charset="0"/>
              <a:cs typeface="Segoe UI" panose="020B0502040204020203" pitchFamily="34" charset="0"/>
            </a:rPr>
            <a:t> Rate by Product</a:t>
          </a:r>
          <a:endParaRPr lang="en-US" sz="1200" b="1">
            <a:solidFill>
              <a:schemeClr val="bg1">
                <a:lumMod val="50000"/>
              </a:schemeClr>
            </a:solidFill>
            <a:latin typeface="Segoe UI" panose="020B0502040204020203" pitchFamily="34" charset="0"/>
            <a:ea typeface="ADLaM Display" panose="020F0502020204030204" pitchFamily="2" charset="0"/>
            <a:cs typeface="Segoe UI" panose="020B0502040204020203" pitchFamily="34" charset="0"/>
          </a:endParaRPr>
        </a:p>
      </xdr:txBody>
    </xdr:sp>
    <xdr:clientData/>
  </xdr:twoCellAnchor>
  <xdr:twoCellAnchor>
    <xdr:from>
      <xdr:col>4</xdr:col>
      <xdr:colOff>152399</xdr:colOff>
      <xdr:row>25</xdr:row>
      <xdr:rowOff>38100</xdr:rowOff>
    </xdr:from>
    <xdr:to>
      <xdr:col>9</xdr:col>
      <xdr:colOff>123824</xdr:colOff>
      <xdr:row>36</xdr:row>
      <xdr:rowOff>9525</xdr:rowOff>
    </xdr:to>
    <xdr:graphicFrame macro="">
      <xdr:nvGraphicFramePr>
        <xdr:cNvPr id="43" name="Chart 42">
          <a:extLst>
            <a:ext uri="{FF2B5EF4-FFF2-40B4-BE49-F238E27FC236}">
              <a16:creationId xmlns:a16="http://schemas.microsoft.com/office/drawing/2014/main" id="{374A0683-F363-4D1B-ABDF-85F50855FE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xdr:col>
      <xdr:colOff>238124</xdr:colOff>
      <xdr:row>24</xdr:row>
      <xdr:rowOff>123825</xdr:rowOff>
    </xdr:from>
    <xdr:to>
      <xdr:col>8</xdr:col>
      <xdr:colOff>542925</xdr:colOff>
      <xdr:row>26</xdr:row>
      <xdr:rowOff>19050</xdr:rowOff>
    </xdr:to>
    <xdr:sp macro="" textlink="">
      <xdr:nvSpPr>
        <xdr:cNvPr id="44" name="TextBox 43">
          <a:extLst>
            <a:ext uri="{FF2B5EF4-FFF2-40B4-BE49-F238E27FC236}">
              <a16:creationId xmlns:a16="http://schemas.microsoft.com/office/drawing/2014/main" id="{E32B093D-45F3-4888-A4E8-9297C9F9AC3B}"/>
            </a:ext>
          </a:extLst>
        </xdr:cNvPr>
        <xdr:cNvSpPr txBox="1"/>
      </xdr:nvSpPr>
      <xdr:spPr>
        <a:xfrm>
          <a:off x="2676524" y="4695825"/>
          <a:ext cx="2743201"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a:solidFill>
                <a:schemeClr val="bg1">
                  <a:lumMod val="50000"/>
                </a:schemeClr>
              </a:solidFill>
              <a:latin typeface="Segoe UI" panose="020B0502040204020203" pitchFamily="34" charset="0"/>
              <a:ea typeface="ADLaM Display" panose="020F0502020204030204" pitchFamily="2" charset="0"/>
              <a:cs typeface="Segoe UI" panose="020B0502040204020203" pitchFamily="34" charset="0"/>
            </a:rPr>
            <a:t>Revenue by Customer</a:t>
          </a:r>
          <a:r>
            <a:rPr lang="en-US" sz="1200" b="1" baseline="0">
              <a:solidFill>
                <a:schemeClr val="bg1">
                  <a:lumMod val="50000"/>
                </a:schemeClr>
              </a:solidFill>
              <a:latin typeface="Segoe UI" panose="020B0502040204020203" pitchFamily="34" charset="0"/>
              <a:ea typeface="ADLaM Display" panose="020F0502020204030204" pitchFamily="2" charset="0"/>
              <a:cs typeface="Segoe UI" panose="020B0502040204020203" pitchFamily="34" charset="0"/>
            </a:rPr>
            <a:t> Segment</a:t>
          </a:r>
          <a:endParaRPr lang="en-US" sz="1200" b="1">
            <a:solidFill>
              <a:schemeClr val="bg1">
                <a:lumMod val="50000"/>
              </a:schemeClr>
            </a:solidFill>
            <a:latin typeface="Segoe UI" panose="020B0502040204020203" pitchFamily="34" charset="0"/>
            <a:ea typeface="ADLaM Display" panose="020F0502020204030204" pitchFamily="2" charset="0"/>
            <a:cs typeface="Segoe UI" panose="020B0502040204020203" pitchFamily="34" charset="0"/>
          </a:endParaRPr>
        </a:p>
      </xdr:txBody>
    </xdr:sp>
    <xdr:clientData/>
  </xdr:twoCellAnchor>
  <xdr:twoCellAnchor>
    <xdr:from>
      <xdr:col>5</xdr:col>
      <xdr:colOff>166687</xdr:colOff>
      <xdr:row>1</xdr:row>
      <xdr:rowOff>85724</xdr:rowOff>
    </xdr:from>
    <xdr:to>
      <xdr:col>15</xdr:col>
      <xdr:colOff>319087</xdr:colOff>
      <xdr:row>3</xdr:row>
      <xdr:rowOff>114299</xdr:rowOff>
    </xdr:to>
    <xdr:sp macro="" textlink="">
      <xdr:nvSpPr>
        <xdr:cNvPr id="46" name="TextBox 45">
          <a:extLst>
            <a:ext uri="{FF2B5EF4-FFF2-40B4-BE49-F238E27FC236}">
              <a16:creationId xmlns:a16="http://schemas.microsoft.com/office/drawing/2014/main" id="{51A56328-B115-4689-9B0E-27F3DA4DD7E8}"/>
            </a:ext>
          </a:extLst>
        </xdr:cNvPr>
        <xdr:cNvSpPr txBox="1"/>
      </xdr:nvSpPr>
      <xdr:spPr>
        <a:xfrm>
          <a:off x="3214687" y="276224"/>
          <a:ext cx="6248400"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rgbClr val="287E8F"/>
              </a:solidFill>
              <a:latin typeface="Segoe UI" panose="020B0502040204020203" pitchFamily="34" charset="0"/>
              <a:ea typeface="ADLaM Display" panose="020F0502020204030204" pitchFamily="2" charset="0"/>
              <a:cs typeface="Segoe UI" panose="020B0502040204020203" pitchFamily="34" charset="0"/>
            </a:rPr>
            <a:t>BICYCLE SALES PERFORMANCE</a:t>
          </a:r>
          <a:r>
            <a:rPr lang="en-US" sz="1800" b="1" baseline="0">
              <a:solidFill>
                <a:srgbClr val="287E8F"/>
              </a:solidFill>
              <a:latin typeface="Segoe UI" panose="020B0502040204020203" pitchFamily="34" charset="0"/>
              <a:ea typeface="ADLaM Display" panose="020F0502020204030204" pitchFamily="2" charset="0"/>
              <a:cs typeface="Segoe UI" panose="020B0502040204020203" pitchFamily="34" charset="0"/>
            </a:rPr>
            <a:t> DASHBOARD</a:t>
          </a:r>
          <a:endParaRPr lang="en-US" sz="1800" b="1">
            <a:solidFill>
              <a:srgbClr val="287E8F"/>
            </a:solidFill>
            <a:latin typeface="Segoe UI" panose="020B0502040204020203" pitchFamily="34" charset="0"/>
            <a:ea typeface="ADLaM Display" panose="020F0502020204030204" pitchFamily="2" charset="0"/>
            <a:cs typeface="Segoe UI" panose="020B0502040204020203" pitchFamily="34" charset="0"/>
          </a:endParaRPr>
        </a:p>
      </xdr:txBody>
    </xdr:sp>
    <xdr:clientData/>
  </xdr:twoCellAnchor>
  <xdr:twoCellAnchor editAs="oneCell">
    <xdr:from>
      <xdr:col>4</xdr:col>
      <xdr:colOff>276226</xdr:colOff>
      <xdr:row>1</xdr:row>
      <xdr:rowOff>47626</xdr:rowOff>
    </xdr:from>
    <xdr:to>
      <xdr:col>5</xdr:col>
      <xdr:colOff>180976</xdr:colOff>
      <xdr:row>3</xdr:row>
      <xdr:rowOff>180976</xdr:rowOff>
    </xdr:to>
    <xdr:pic>
      <xdr:nvPicPr>
        <xdr:cNvPr id="48" name="Graphic 47" descr="Cycling with solid fill">
          <a:extLst>
            <a:ext uri="{FF2B5EF4-FFF2-40B4-BE49-F238E27FC236}">
              <a16:creationId xmlns:a16="http://schemas.microsoft.com/office/drawing/2014/main" id="{B9BC8BF2-D92C-B854-6143-AACEB517916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2714626" y="238126"/>
          <a:ext cx="514350" cy="514350"/>
        </a:xfrm>
        <a:prstGeom prst="rect">
          <a:avLst/>
        </a:prstGeom>
      </xdr:spPr>
    </xdr:pic>
    <xdr:clientData/>
  </xdr:twoCellAnchor>
  <xdr:twoCellAnchor>
    <xdr:from>
      <xdr:col>9</xdr:col>
      <xdr:colOff>390524</xdr:colOff>
      <xdr:row>24</xdr:row>
      <xdr:rowOff>123825</xdr:rowOff>
    </xdr:from>
    <xdr:to>
      <xdr:col>13</xdr:col>
      <xdr:colOff>310977</xdr:colOff>
      <xdr:row>26</xdr:row>
      <xdr:rowOff>19050</xdr:rowOff>
    </xdr:to>
    <xdr:sp macro="" textlink="">
      <xdr:nvSpPr>
        <xdr:cNvPr id="49" name="TextBox 48">
          <a:extLst>
            <a:ext uri="{FF2B5EF4-FFF2-40B4-BE49-F238E27FC236}">
              <a16:creationId xmlns:a16="http://schemas.microsoft.com/office/drawing/2014/main" id="{11EE8D52-87F9-4A1F-A5B2-8F8ED8DF21A3}"/>
            </a:ext>
          </a:extLst>
        </xdr:cNvPr>
        <xdr:cNvSpPr txBox="1"/>
      </xdr:nvSpPr>
      <xdr:spPr>
        <a:xfrm>
          <a:off x="5876924" y="4695825"/>
          <a:ext cx="2358853"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a:solidFill>
                <a:schemeClr val="bg1">
                  <a:lumMod val="50000"/>
                </a:schemeClr>
              </a:solidFill>
              <a:latin typeface="Segoe UI" panose="020B0502040204020203" pitchFamily="34" charset="0"/>
              <a:ea typeface="ADLaM Display" panose="020F0502020204030204" pitchFamily="2" charset="0"/>
              <a:cs typeface="Segoe UI" panose="020B0502040204020203" pitchFamily="34" charset="0"/>
            </a:rPr>
            <a:t>Revenue &amp; Profit by Country</a:t>
          </a:r>
        </a:p>
      </xdr:txBody>
    </xdr:sp>
    <xdr:clientData/>
  </xdr:twoCellAnchor>
  <xdr:twoCellAnchor>
    <xdr:from>
      <xdr:col>9</xdr:col>
      <xdr:colOff>295275</xdr:colOff>
      <xdr:row>26</xdr:row>
      <xdr:rowOff>95250</xdr:rowOff>
    </xdr:from>
    <xdr:to>
      <xdr:col>14</xdr:col>
      <xdr:colOff>514350</xdr:colOff>
      <xdr:row>36</xdr:row>
      <xdr:rowOff>9526</xdr:rowOff>
    </xdr:to>
    <xdr:graphicFrame macro="">
      <xdr:nvGraphicFramePr>
        <xdr:cNvPr id="50" name="Chart 49">
          <a:extLst>
            <a:ext uri="{FF2B5EF4-FFF2-40B4-BE49-F238E27FC236}">
              <a16:creationId xmlns:a16="http://schemas.microsoft.com/office/drawing/2014/main" id="{5E9132B2-F996-45A4-B3E6-3209CDF9C8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495300</xdr:colOff>
          <xdr:row>25</xdr:row>
          <xdr:rowOff>171450</xdr:rowOff>
        </xdr:from>
        <xdr:to>
          <xdr:col>13</xdr:col>
          <xdr:colOff>590550</xdr:colOff>
          <xdr:row>27</xdr:row>
          <xdr:rowOff>9525</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485775</xdr:colOff>
          <xdr:row>25</xdr:row>
          <xdr:rowOff>171450</xdr:rowOff>
        </xdr:from>
        <xdr:to>
          <xdr:col>15</xdr:col>
          <xdr:colOff>19050</xdr:colOff>
          <xdr:row>27</xdr:row>
          <xdr:rowOff>9525</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xdr:twoCellAnchor>
    <xdr:from>
      <xdr:col>10</xdr:col>
      <xdr:colOff>342900</xdr:colOff>
      <xdr:row>25</xdr:row>
      <xdr:rowOff>161925</xdr:rowOff>
    </xdr:from>
    <xdr:to>
      <xdr:col>12</xdr:col>
      <xdr:colOff>523875</xdr:colOff>
      <xdr:row>27</xdr:row>
      <xdr:rowOff>28575</xdr:rowOff>
    </xdr:to>
    <xdr:sp macro="" textlink="">
      <xdr:nvSpPr>
        <xdr:cNvPr id="52" name="TextBox 51">
          <a:extLst>
            <a:ext uri="{FF2B5EF4-FFF2-40B4-BE49-F238E27FC236}">
              <a16:creationId xmlns:a16="http://schemas.microsoft.com/office/drawing/2014/main" id="{1FB2C4A8-E34C-DAFE-623B-40012C94B5A1}"/>
            </a:ext>
          </a:extLst>
        </xdr:cNvPr>
        <xdr:cNvSpPr txBox="1"/>
      </xdr:nvSpPr>
      <xdr:spPr>
        <a:xfrm>
          <a:off x="6438900" y="4924425"/>
          <a:ext cx="14001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dk1"/>
              </a:solidFill>
              <a:latin typeface="Segoe UI" panose="020B0502040204020203" pitchFamily="34" charset="0"/>
              <a:cs typeface="Segoe UI" panose="020B0502040204020203" pitchFamily="34" charset="0"/>
            </a:rPr>
            <a:t>Choose metric</a:t>
          </a:r>
          <a:r>
            <a:rPr lang="en-US" sz="900" b="1" baseline="0">
              <a:solidFill>
                <a:schemeClr val="dk1"/>
              </a:solidFill>
              <a:latin typeface="Segoe UI" panose="020B0502040204020203" pitchFamily="34" charset="0"/>
              <a:cs typeface="Segoe UI" panose="020B0502040204020203" pitchFamily="34" charset="0"/>
            </a:rPr>
            <a:t> to view</a:t>
          </a:r>
          <a:endParaRPr lang="en-US" sz="900" b="1">
            <a:solidFill>
              <a:schemeClr val="dk1"/>
            </a:solidFill>
            <a:latin typeface="Segoe UI" panose="020B0502040204020203" pitchFamily="34" charset="0"/>
            <a:cs typeface="Segoe UI" panose="020B0502040204020203" pitchFamily="34" charset="0"/>
          </a:endParaRPr>
        </a:p>
      </xdr:txBody>
    </xdr:sp>
    <xdr:clientData/>
  </xdr:twoCellAnchor>
  <xdr:twoCellAnchor>
    <xdr:from>
      <xdr:col>15</xdr:col>
      <xdr:colOff>142874</xdr:colOff>
      <xdr:row>24</xdr:row>
      <xdr:rowOff>123825</xdr:rowOff>
    </xdr:from>
    <xdr:to>
      <xdr:col>19</xdr:col>
      <xdr:colOff>352425</xdr:colOff>
      <xdr:row>26</xdr:row>
      <xdr:rowOff>19050</xdr:rowOff>
    </xdr:to>
    <xdr:sp macro="" textlink="">
      <xdr:nvSpPr>
        <xdr:cNvPr id="53" name="TextBox 52">
          <a:extLst>
            <a:ext uri="{FF2B5EF4-FFF2-40B4-BE49-F238E27FC236}">
              <a16:creationId xmlns:a16="http://schemas.microsoft.com/office/drawing/2014/main" id="{A7764D56-8F1C-4FCC-89E2-82E16C45C006}"/>
            </a:ext>
          </a:extLst>
        </xdr:cNvPr>
        <xdr:cNvSpPr txBox="1"/>
      </xdr:nvSpPr>
      <xdr:spPr>
        <a:xfrm>
          <a:off x="9286874" y="4695825"/>
          <a:ext cx="2647951"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a:solidFill>
                <a:schemeClr val="bg1">
                  <a:lumMod val="50000"/>
                </a:schemeClr>
              </a:solidFill>
              <a:latin typeface="Segoe UI" panose="020B0502040204020203" pitchFamily="34" charset="0"/>
              <a:ea typeface="ADLaM Display" panose="020F0502020204030204" pitchFamily="2" charset="0"/>
              <a:cs typeface="Segoe UI" panose="020B0502040204020203" pitchFamily="34" charset="0"/>
            </a:rPr>
            <a:t>Revenue, Profit, COGS by Product</a:t>
          </a:r>
        </a:p>
      </xdr:txBody>
    </xdr:sp>
    <xdr:clientData/>
  </xdr:twoCellAnchor>
  <xdr:twoCellAnchor>
    <xdr:from>
      <xdr:col>15</xdr:col>
      <xdr:colOff>133350</xdr:colOff>
      <xdr:row>26</xdr:row>
      <xdr:rowOff>19049</xdr:rowOff>
    </xdr:from>
    <xdr:to>
      <xdr:col>22</xdr:col>
      <xdr:colOff>19050</xdr:colOff>
      <xdr:row>37</xdr:row>
      <xdr:rowOff>0</xdr:rowOff>
    </xdr:to>
    <xdr:graphicFrame macro="">
      <xdr:nvGraphicFramePr>
        <xdr:cNvPr id="56" name="Chart 55">
          <a:extLst>
            <a:ext uri="{FF2B5EF4-FFF2-40B4-BE49-F238E27FC236}">
              <a16:creationId xmlns:a16="http://schemas.microsoft.com/office/drawing/2014/main" id="{39849ED4-BC97-49F9-AE4E-0ED207077E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mc:AlternateContent xmlns:mc="http://schemas.openxmlformats.org/markup-compatibility/2006">
    <mc:Choice xmlns:a14="http://schemas.microsoft.com/office/drawing/2010/main" Requires="a14">
      <xdr:twoCellAnchor editAs="oneCell">
        <xdr:from>
          <xdr:col>19</xdr:col>
          <xdr:colOff>219075</xdr:colOff>
          <xdr:row>24</xdr:row>
          <xdr:rowOff>171450</xdr:rowOff>
        </xdr:from>
        <xdr:to>
          <xdr:col>20</xdr:col>
          <xdr:colOff>228600</xdr:colOff>
          <xdr:row>26</xdr:row>
          <xdr:rowOff>9525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200025</xdr:colOff>
          <xdr:row>24</xdr:row>
          <xdr:rowOff>171450</xdr:rowOff>
        </xdr:from>
        <xdr:to>
          <xdr:col>21</xdr:col>
          <xdr:colOff>142875</xdr:colOff>
          <xdr:row>26</xdr:row>
          <xdr:rowOff>9525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24</xdr:row>
          <xdr:rowOff>171450</xdr:rowOff>
        </xdr:from>
        <xdr:to>
          <xdr:col>22</xdr:col>
          <xdr:colOff>238125</xdr:colOff>
          <xdr:row>26</xdr:row>
          <xdr:rowOff>9525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COGS</a:t>
              </a:r>
            </a:p>
          </xdr:txBody>
        </xdr:sp>
        <xdr:clientData/>
      </xdr:twoCellAnchor>
    </mc:Choice>
    <mc:Fallback/>
  </mc:AlternateContent>
  <xdr:twoCellAnchor editAs="oneCell">
    <xdr:from>
      <xdr:col>19</xdr:col>
      <xdr:colOff>562737</xdr:colOff>
      <xdr:row>1</xdr:row>
      <xdr:rowOff>95250</xdr:rowOff>
    </xdr:from>
    <xdr:to>
      <xdr:col>21</xdr:col>
      <xdr:colOff>571500</xdr:colOff>
      <xdr:row>3</xdr:row>
      <xdr:rowOff>142875</xdr:rowOff>
    </xdr:to>
    <mc:AlternateContent xmlns:mc="http://schemas.openxmlformats.org/markup-compatibility/2006" xmlns:a14="http://schemas.microsoft.com/office/drawing/2010/main">
      <mc:Choice Requires="a14">
        <xdr:graphicFrame macro="">
          <xdr:nvGraphicFramePr>
            <xdr:cNvPr id="58" name="Year">
              <a:extLst>
                <a:ext uri="{FF2B5EF4-FFF2-40B4-BE49-F238E27FC236}">
                  <a16:creationId xmlns:a16="http://schemas.microsoft.com/office/drawing/2014/main" id="{2F39B457-F8B1-45DA-9CFE-04C70A556E7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145137" y="285750"/>
              <a:ext cx="1227963" cy="4286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76200</xdr:colOff>
      <xdr:row>1</xdr:row>
      <xdr:rowOff>95250</xdr:rowOff>
    </xdr:from>
    <xdr:to>
      <xdr:col>19</xdr:col>
      <xdr:colOff>66672</xdr:colOff>
      <xdr:row>3</xdr:row>
      <xdr:rowOff>123825</xdr:rowOff>
    </xdr:to>
    <mc:AlternateContent xmlns:mc="http://schemas.openxmlformats.org/markup-compatibility/2006" xmlns:a14="http://schemas.microsoft.com/office/drawing/2010/main">
      <mc:Choice Requires="a14">
        <xdr:graphicFrame macro="">
          <xdr:nvGraphicFramePr>
            <xdr:cNvPr id="59" name="Quarter">
              <a:extLst>
                <a:ext uri="{FF2B5EF4-FFF2-40B4-BE49-F238E27FC236}">
                  <a16:creationId xmlns:a16="http://schemas.microsoft.com/office/drawing/2014/main" id="{CBC32F4D-76E9-4373-BE71-C05B35D81080}"/>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9829800" y="285750"/>
              <a:ext cx="1819272" cy="409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267462</xdr:colOff>
      <xdr:row>23</xdr:row>
      <xdr:rowOff>180975</xdr:rowOff>
    </xdr:from>
    <xdr:to>
      <xdr:col>3</xdr:col>
      <xdr:colOff>536066</xdr:colOff>
      <xdr:row>32</xdr:row>
      <xdr:rowOff>9525</xdr:rowOff>
    </xdr:to>
    <mc:AlternateContent xmlns:mc="http://schemas.openxmlformats.org/markup-compatibility/2006" xmlns:a14="http://schemas.microsoft.com/office/drawing/2010/main">
      <mc:Choice Requires="a14">
        <xdr:graphicFrame macro="">
          <xdr:nvGraphicFramePr>
            <xdr:cNvPr id="60" name="Customer_Segment_Name">
              <a:extLst>
                <a:ext uri="{FF2B5EF4-FFF2-40B4-BE49-F238E27FC236}">
                  <a16:creationId xmlns:a16="http://schemas.microsoft.com/office/drawing/2014/main" id="{59B9F3D9-2CCA-45E9-A0C8-BD710F731680}"/>
                </a:ext>
              </a:extLst>
            </xdr:cNvPr>
            <xdr:cNvGraphicFramePr/>
          </xdr:nvGraphicFramePr>
          <xdr:xfrm>
            <a:off x="0" y="0"/>
            <a:ext cx="0" cy="0"/>
          </xdr:xfrm>
          <a:graphic>
            <a:graphicData uri="http://schemas.microsoft.com/office/drawing/2010/slicer">
              <sle:slicer xmlns:sle="http://schemas.microsoft.com/office/drawing/2010/slicer" name="Customer_Segment_Name"/>
            </a:graphicData>
          </a:graphic>
        </xdr:graphicFrame>
      </mc:Choice>
      <mc:Fallback xmlns="">
        <xdr:sp macro="" textlink="">
          <xdr:nvSpPr>
            <xdr:cNvPr id="0" name=""/>
            <xdr:cNvSpPr>
              <a:spLocks noTextEdit="1"/>
            </xdr:cNvSpPr>
          </xdr:nvSpPr>
          <xdr:spPr>
            <a:xfrm>
              <a:off x="877062" y="4562475"/>
              <a:ext cx="1487804" cy="1543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190500</xdr:colOff>
      <xdr:row>12</xdr:row>
      <xdr:rowOff>161926</xdr:rowOff>
    </xdr:from>
    <xdr:to>
      <xdr:col>14</xdr:col>
      <xdr:colOff>495300</xdr:colOff>
      <xdr:row>23</xdr:row>
      <xdr:rowOff>104776</xdr:rowOff>
    </xdr:to>
    <xdr:graphicFrame macro="">
      <xdr:nvGraphicFramePr>
        <xdr:cNvPr id="10" name="Chart 9">
          <a:extLst>
            <a:ext uri="{FF2B5EF4-FFF2-40B4-BE49-F238E27FC236}">
              <a16:creationId xmlns:a16="http://schemas.microsoft.com/office/drawing/2014/main" id="{CFD06B2F-3B80-48F9-8E3F-F1DF420BF8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4</xdr:col>
      <xdr:colOff>228600</xdr:colOff>
      <xdr:row>9</xdr:row>
      <xdr:rowOff>66675</xdr:rowOff>
    </xdr:from>
    <xdr:to>
      <xdr:col>5</xdr:col>
      <xdr:colOff>457200</xdr:colOff>
      <xdr:row>10</xdr:row>
      <xdr:rowOff>152400</xdr:rowOff>
    </xdr:to>
    <xdr:sp macro="" textlink="">
      <xdr:nvSpPr>
        <xdr:cNvPr id="19" name="TextBox 18">
          <a:extLst>
            <a:ext uri="{FF2B5EF4-FFF2-40B4-BE49-F238E27FC236}">
              <a16:creationId xmlns:a16="http://schemas.microsoft.com/office/drawing/2014/main" id="{4F3CFEA8-CA5A-4A2A-8715-C8705438AA67}"/>
            </a:ext>
          </a:extLst>
        </xdr:cNvPr>
        <xdr:cNvSpPr txBox="1"/>
      </xdr:nvSpPr>
      <xdr:spPr>
        <a:xfrm>
          <a:off x="2667000" y="1781175"/>
          <a:ext cx="8382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bg1">
                  <a:lumMod val="75000"/>
                </a:schemeClr>
              </a:solidFill>
              <a:latin typeface="Segoe UI" panose="020B0502040204020203" pitchFamily="34" charset="0"/>
              <a:ea typeface="ADLaM Display" panose="020F0502020204030204" pitchFamily="2" charset="0"/>
              <a:cs typeface="Segoe UI" panose="020B0502040204020203" pitchFamily="34" charset="0"/>
            </a:rPr>
            <a:t>LY Revenue</a:t>
          </a:r>
        </a:p>
      </xdr:txBody>
    </xdr:sp>
    <xdr:clientData/>
  </xdr:twoCellAnchor>
  <xdr:twoCellAnchor>
    <xdr:from>
      <xdr:col>8</xdr:col>
      <xdr:colOff>9525</xdr:colOff>
      <xdr:row>9</xdr:row>
      <xdr:rowOff>66675</xdr:rowOff>
    </xdr:from>
    <xdr:to>
      <xdr:col>9</xdr:col>
      <xdr:colOff>238125</xdr:colOff>
      <xdr:row>10</xdr:row>
      <xdr:rowOff>152400</xdr:rowOff>
    </xdr:to>
    <xdr:sp macro="" textlink="">
      <xdr:nvSpPr>
        <xdr:cNvPr id="24" name="TextBox 23">
          <a:extLst>
            <a:ext uri="{FF2B5EF4-FFF2-40B4-BE49-F238E27FC236}">
              <a16:creationId xmlns:a16="http://schemas.microsoft.com/office/drawing/2014/main" id="{4A5CF2ED-2B13-4766-8830-972E061FB8BE}"/>
            </a:ext>
          </a:extLst>
        </xdr:cNvPr>
        <xdr:cNvSpPr txBox="1"/>
      </xdr:nvSpPr>
      <xdr:spPr>
        <a:xfrm>
          <a:off x="4886325" y="1781175"/>
          <a:ext cx="8382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bg1">
                  <a:lumMod val="75000"/>
                </a:schemeClr>
              </a:solidFill>
              <a:latin typeface="Segoe UI" panose="020B0502040204020203" pitchFamily="34" charset="0"/>
              <a:ea typeface="ADLaM Display" panose="020F0502020204030204" pitchFamily="2" charset="0"/>
              <a:cs typeface="Segoe UI" panose="020B0502040204020203" pitchFamily="34" charset="0"/>
            </a:rPr>
            <a:t>LY Profit</a:t>
          </a:r>
        </a:p>
      </xdr:txBody>
    </xdr:sp>
    <xdr:clientData/>
  </xdr:twoCellAnchor>
  <xdr:twoCellAnchor>
    <xdr:from>
      <xdr:col>11</xdr:col>
      <xdr:colOff>390525</xdr:colOff>
      <xdr:row>9</xdr:row>
      <xdr:rowOff>66675</xdr:rowOff>
    </xdr:from>
    <xdr:to>
      <xdr:col>13</xdr:col>
      <xdr:colOff>323850</xdr:colOff>
      <xdr:row>10</xdr:row>
      <xdr:rowOff>152400</xdr:rowOff>
    </xdr:to>
    <xdr:sp macro="" textlink="">
      <xdr:nvSpPr>
        <xdr:cNvPr id="30" name="TextBox 29">
          <a:extLst>
            <a:ext uri="{FF2B5EF4-FFF2-40B4-BE49-F238E27FC236}">
              <a16:creationId xmlns:a16="http://schemas.microsoft.com/office/drawing/2014/main" id="{F26CA21F-6662-4CFE-BB43-E8D28AF8D744}"/>
            </a:ext>
          </a:extLst>
        </xdr:cNvPr>
        <xdr:cNvSpPr txBox="1"/>
      </xdr:nvSpPr>
      <xdr:spPr>
        <a:xfrm>
          <a:off x="7096125" y="1781175"/>
          <a:ext cx="115252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bg1">
                  <a:lumMod val="75000"/>
                </a:schemeClr>
              </a:solidFill>
              <a:latin typeface="Segoe UI" panose="020B0502040204020203" pitchFamily="34" charset="0"/>
              <a:ea typeface="ADLaM Display" panose="020F0502020204030204" pitchFamily="2" charset="0"/>
              <a:cs typeface="Segoe UI" panose="020B0502040204020203" pitchFamily="34" charset="0"/>
            </a:rPr>
            <a:t>LY Profit</a:t>
          </a:r>
          <a:r>
            <a:rPr lang="en-US" sz="900" b="1" baseline="0">
              <a:solidFill>
                <a:schemeClr val="bg1">
                  <a:lumMod val="75000"/>
                </a:schemeClr>
              </a:solidFill>
              <a:latin typeface="Segoe UI" panose="020B0502040204020203" pitchFamily="34" charset="0"/>
              <a:ea typeface="ADLaM Display" panose="020F0502020204030204" pitchFamily="2" charset="0"/>
              <a:cs typeface="Segoe UI" panose="020B0502040204020203" pitchFamily="34" charset="0"/>
            </a:rPr>
            <a:t> Margin</a:t>
          </a:r>
          <a:endParaRPr lang="en-US" sz="900" b="1">
            <a:solidFill>
              <a:schemeClr val="bg1">
                <a:lumMod val="75000"/>
              </a:schemeClr>
            </a:solidFill>
            <a:latin typeface="Segoe UI" panose="020B0502040204020203" pitchFamily="34" charset="0"/>
            <a:ea typeface="ADLaM Display" panose="020F0502020204030204" pitchFamily="2" charset="0"/>
            <a:cs typeface="Segoe UI" panose="020B0502040204020203" pitchFamily="34" charset="0"/>
          </a:endParaRPr>
        </a:p>
      </xdr:txBody>
    </xdr:sp>
    <xdr:clientData/>
  </xdr:twoCellAnchor>
  <xdr:twoCellAnchor>
    <xdr:from>
      <xdr:col>15</xdr:col>
      <xdr:colOff>142875</xdr:colOff>
      <xdr:row>9</xdr:row>
      <xdr:rowOff>66675</xdr:rowOff>
    </xdr:from>
    <xdr:to>
      <xdr:col>16</xdr:col>
      <xdr:colOff>428625</xdr:colOff>
      <xdr:row>10</xdr:row>
      <xdr:rowOff>152400</xdr:rowOff>
    </xdr:to>
    <xdr:sp macro="" textlink="">
      <xdr:nvSpPr>
        <xdr:cNvPr id="32" name="TextBox 31">
          <a:extLst>
            <a:ext uri="{FF2B5EF4-FFF2-40B4-BE49-F238E27FC236}">
              <a16:creationId xmlns:a16="http://schemas.microsoft.com/office/drawing/2014/main" id="{7D525E5F-4F63-43E7-8528-A2DD0C6EEF08}"/>
            </a:ext>
          </a:extLst>
        </xdr:cNvPr>
        <xdr:cNvSpPr txBox="1"/>
      </xdr:nvSpPr>
      <xdr:spPr>
        <a:xfrm>
          <a:off x="9286875" y="1781175"/>
          <a:ext cx="8953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bg1">
                  <a:lumMod val="75000"/>
                </a:schemeClr>
              </a:solidFill>
              <a:latin typeface="Segoe UI" panose="020B0502040204020203" pitchFamily="34" charset="0"/>
              <a:ea typeface="ADLaM Display" panose="020F0502020204030204" pitchFamily="2" charset="0"/>
              <a:cs typeface="Segoe UI" panose="020B0502040204020203" pitchFamily="34" charset="0"/>
            </a:rPr>
            <a:t>LY Unit Sold</a:t>
          </a:r>
        </a:p>
      </xdr:txBody>
    </xdr:sp>
    <xdr:clientData/>
  </xdr:twoCellAnchor>
  <xdr:twoCellAnchor>
    <xdr:from>
      <xdr:col>18</xdr:col>
      <xdr:colOff>542925</xdr:colOff>
      <xdr:row>9</xdr:row>
      <xdr:rowOff>66675</xdr:rowOff>
    </xdr:from>
    <xdr:to>
      <xdr:col>20</xdr:col>
      <xdr:colOff>200025</xdr:colOff>
      <xdr:row>10</xdr:row>
      <xdr:rowOff>152400</xdr:rowOff>
    </xdr:to>
    <xdr:sp macro="" textlink="">
      <xdr:nvSpPr>
        <xdr:cNvPr id="34" name="TextBox 33">
          <a:extLst>
            <a:ext uri="{FF2B5EF4-FFF2-40B4-BE49-F238E27FC236}">
              <a16:creationId xmlns:a16="http://schemas.microsoft.com/office/drawing/2014/main" id="{285B37EA-A3EA-4A74-87A1-4B56DAC5A6F2}"/>
            </a:ext>
          </a:extLst>
        </xdr:cNvPr>
        <xdr:cNvSpPr txBox="1"/>
      </xdr:nvSpPr>
      <xdr:spPr>
        <a:xfrm>
          <a:off x="11515725" y="1781175"/>
          <a:ext cx="8763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bg1">
                  <a:lumMod val="75000"/>
                </a:schemeClr>
              </a:solidFill>
              <a:latin typeface="Segoe UI" panose="020B0502040204020203" pitchFamily="34" charset="0"/>
              <a:ea typeface="ADLaM Display" panose="020F0502020204030204" pitchFamily="2" charset="0"/>
              <a:cs typeface="Segoe UI" panose="020B0502040204020203" pitchFamily="34" charset="0"/>
            </a:rPr>
            <a:t>LY Customer</a:t>
          </a:r>
        </a:p>
      </xdr:txBody>
    </xdr:sp>
    <xdr:clientData/>
  </xdr:twoCellAnchor>
  <xdr:twoCellAnchor>
    <xdr:from>
      <xdr:col>5</xdr:col>
      <xdr:colOff>285749</xdr:colOff>
      <xdr:row>9</xdr:row>
      <xdr:rowOff>66675</xdr:rowOff>
    </xdr:from>
    <xdr:to>
      <xdr:col>6</xdr:col>
      <xdr:colOff>466724</xdr:colOff>
      <xdr:row>10</xdr:row>
      <xdr:rowOff>95250</xdr:rowOff>
    </xdr:to>
    <xdr:sp macro="" textlink="Analyze!I4">
      <xdr:nvSpPr>
        <xdr:cNvPr id="36" name="TextBox 35">
          <a:extLst>
            <a:ext uri="{FF2B5EF4-FFF2-40B4-BE49-F238E27FC236}">
              <a16:creationId xmlns:a16="http://schemas.microsoft.com/office/drawing/2014/main" id="{BF6D5DC0-BB66-4A4E-B51D-4ABF0925FCAA}"/>
            </a:ext>
          </a:extLst>
        </xdr:cNvPr>
        <xdr:cNvSpPr txBox="1"/>
      </xdr:nvSpPr>
      <xdr:spPr>
        <a:xfrm>
          <a:off x="3333749" y="1781175"/>
          <a:ext cx="79057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DAA519-23C6-43A4-A2DC-8C6150BD9527}" type="TxLink">
            <a:rPr lang="en-US" sz="900" b="1" i="0" u="none" strike="noStrike">
              <a:solidFill>
                <a:schemeClr val="bg1">
                  <a:lumMod val="75000"/>
                </a:schemeClr>
              </a:solidFill>
              <a:latin typeface="Segoe UI" panose="020B0502040204020203" pitchFamily="34" charset="0"/>
              <a:ea typeface="Calibri"/>
              <a:cs typeface="Segoe UI" panose="020B0502040204020203" pitchFamily="34" charset="0"/>
            </a:rPr>
            <a:pPr/>
            <a:t>163.90 M</a:t>
          </a:fld>
          <a:endParaRPr lang="en-US" sz="900" b="1">
            <a:solidFill>
              <a:schemeClr val="bg1">
                <a:lumMod val="75000"/>
              </a:schemeClr>
            </a:solidFill>
            <a:latin typeface="Segoe UI" panose="020B0502040204020203" pitchFamily="34" charset="0"/>
            <a:ea typeface="ADLaM Display" panose="020F0502020204030204" pitchFamily="2" charset="0"/>
            <a:cs typeface="Segoe UI" panose="020B0502040204020203" pitchFamily="34" charset="0"/>
          </a:endParaRPr>
        </a:p>
      </xdr:txBody>
    </xdr:sp>
    <xdr:clientData/>
  </xdr:twoCellAnchor>
  <xdr:twoCellAnchor>
    <xdr:from>
      <xdr:col>8</xdr:col>
      <xdr:colOff>552450</xdr:colOff>
      <xdr:row>9</xdr:row>
      <xdr:rowOff>66675</xdr:rowOff>
    </xdr:from>
    <xdr:to>
      <xdr:col>10</xdr:col>
      <xdr:colOff>9526</xdr:colOff>
      <xdr:row>10</xdr:row>
      <xdr:rowOff>95250</xdr:rowOff>
    </xdr:to>
    <xdr:sp macro="" textlink="Analyze!J4">
      <xdr:nvSpPr>
        <xdr:cNvPr id="38" name="TextBox 37">
          <a:extLst>
            <a:ext uri="{FF2B5EF4-FFF2-40B4-BE49-F238E27FC236}">
              <a16:creationId xmlns:a16="http://schemas.microsoft.com/office/drawing/2014/main" id="{3F212AAA-5D57-418E-A4A3-CBBBBCFB0DA4}"/>
            </a:ext>
          </a:extLst>
        </xdr:cNvPr>
        <xdr:cNvSpPr txBox="1"/>
      </xdr:nvSpPr>
      <xdr:spPr>
        <a:xfrm>
          <a:off x="5429250" y="1781175"/>
          <a:ext cx="676276"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3B08F51-8E6F-4A88-BB16-EB4564BFD7AF}" type="TxLink">
            <a:rPr lang="en-US" sz="900" b="1" i="0" u="none" strike="noStrike">
              <a:solidFill>
                <a:schemeClr val="bg1">
                  <a:lumMod val="75000"/>
                </a:schemeClr>
              </a:solidFill>
              <a:latin typeface="Segoe UI" panose="020B0502040204020203" pitchFamily="34" charset="0"/>
              <a:ea typeface="Calibri"/>
              <a:cs typeface="Segoe UI" panose="020B0502040204020203" pitchFamily="34" charset="0"/>
            </a:rPr>
            <a:pPr marL="0" indent="0"/>
            <a:t>81.25 M</a:t>
          </a:fld>
          <a:endParaRPr lang="en-US" sz="900" b="1" i="0" u="none" strike="noStrike">
            <a:solidFill>
              <a:schemeClr val="bg1">
                <a:lumMod val="75000"/>
              </a:schemeClr>
            </a:solidFill>
            <a:latin typeface="Segoe UI" panose="020B0502040204020203" pitchFamily="34" charset="0"/>
            <a:ea typeface="Calibri"/>
            <a:cs typeface="Segoe UI" panose="020B0502040204020203" pitchFamily="34" charset="0"/>
          </a:endParaRPr>
        </a:p>
      </xdr:txBody>
    </xdr:sp>
    <xdr:clientData/>
  </xdr:twoCellAnchor>
  <xdr:twoCellAnchor>
    <xdr:from>
      <xdr:col>13</xdr:col>
      <xdr:colOff>142875</xdr:colOff>
      <xdr:row>9</xdr:row>
      <xdr:rowOff>66675</xdr:rowOff>
    </xdr:from>
    <xdr:to>
      <xdr:col>14</xdr:col>
      <xdr:colOff>209551</xdr:colOff>
      <xdr:row>10</xdr:row>
      <xdr:rowOff>95250</xdr:rowOff>
    </xdr:to>
    <xdr:sp macro="" textlink="Analyze!K4">
      <xdr:nvSpPr>
        <xdr:cNvPr id="47" name="TextBox 46">
          <a:extLst>
            <a:ext uri="{FF2B5EF4-FFF2-40B4-BE49-F238E27FC236}">
              <a16:creationId xmlns:a16="http://schemas.microsoft.com/office/drawing/2014/main" id="{41D535E4-714B-4E88-B317-A5980D261289}"/>
            </a:ext>
          </a:extLst>
        </xdr:cNvPr>
        <xdr:cNvSpPr txBox="1"/>
      </xdr:nvSpPr>
      <xdr:spPr>
        <a:xfrm>
          <a:off x="8067675" y="1781175"/>
          <a:ext cx="676276"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52DE26B-32EE-4177-995F-796A0D3D5718}" type="TxLink">
            <a:rPr lang="en-US" sz="900" b="1" i="0" u="none" strike="noStrike">
              <a:solidFill>
                <a:schemeClr val="bg1">
                  <a:lumMod val="75000"/>
                </a:schemeClr>
              </a:solidFill>
              <a:latin typeface="Segoe UI" panose="020B0502040204020203" pitchFamily="34" charset="0"/>
              <a:ea typeface="Calibri"/>
              <a:cs typeface="Segoe UI" panose="020B0502040204020203" pitchFamily="34" charset="0"/>
            </a:rPr>
            <a:pPr marL="0" indent="0"/>
            <a:t>49.57%</a:t>
          </a:fld>
          <a:endParaRPr lang="en-US" sz="900" b="1" i="0" u="none" strike="noStrike">
            <a:solidFill>
              <a:schemeClr val="bg1">
                <a:lumMod val="75000"/>
              </a:schemeClr>
            </a:solidFill>
            <a:latin typeface="Segoe UI" panose="020B0502040204020203" pitchFamily="34" charset="0"/>
            <a:ea typeface="Calibri"/>
            <a:cs typeface="Segoe UI" panose="020B0502040204020203" pitchFamily="34" charset="0"/>
          </a:endParaRPr>
        </a:p>
      </xdr:txBody>
    </xdr:sp>
    <xdr:clientData/>
  </xdr:twoCellAnchor>
  <xdr:twoCellAnchor>
    <xdr:from>
      <xdr:col>16</xdr:col>
      <xdr:colOff>276225</xdr:colOff>
      <xdr:row>9</xdr:row>
      <xdr:rowOff>66675</xdr:rowOff>
    </xdr:from>
    <xdr:to>
      <xdr:col>17</xdr:col>
      <xdr:colOff>342901</xdr:colOff>
      <xdr:row>10</xdr:row>
      <xdr:rowOff>95250</xdr:rowOff>
    </xdr:to>
    <xdr:sp macro="" textlink="Analyze!L4">
      <xdr:nvSpPr>
        <xdr:cNvPr id="51" name="TextBox 50">
          <a:extLst>
            <a:ext uri="{FF2B5EF4-FFF2-40B4-BE49-F238E27FC236}">
              <a16:creationId xmlns:a16="http://schemas.microsoft.com/office/drawing/2014/main" id="{5A195609-BD1D-4622-BF8F-91559BDD09D6}"/>
            </a:ext>
          </a:extLst>
        </xdr:cNvPr>
        <xdr:cNvSpPr txBox="1"/>
      </xdr:nvSpPr>
      <xdr:spPr>
        <a:xfrm>
          <a:off x="10029825" y="1781175"/>
          <a:ext cx="676276"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B7A2C8D-9E61-4AB8-AF84-7181E0C263D3}" type="TxLink">
            <a:rPr lang="en-US" sz="900" b="1" i="0" u="none" strike="noStrike">
              <a:solidFill>
                <a:schemeClr val="bg1">
                  <a:lumMod val="75000"/>
                </a:schemeClr>
              </a:solidFill>
              <a:latin typeface="Segoe UI" panose="020B0502040204020203" pitchFamily="34" charset="0"/>
              <a:ea typeface="Calibri"/>
              <a:cs typeface="Segoe UI" panose="020B0502040204020203" pitchFamily="34" charset="0"/>
            </a:rPr>
            <a:pPr marL="0" indent="0"/>
            <a:t>0.60 M</a:t>
          </a:fld>
          <a:endParaRPr lang="en-US" sz="900" b="1" i="0" u="none" strike="noStrike">
            <a:solidFill>
              <a:schemeClr val="bg1">
                <a:lumMod val="75000"/>
              </a:schemeClr>
            </a:solidFill>
            <a:latin typeface="Segoe UI" panose="020B0502040204020203" pitchFamily="34" charset="0"/>
            <a:ea typeface="Calibri"/>
            <a:cs typeface="Segoe UI" panose="020B0502040204020203" pitchFamily="34" charset="0"/>
          </a:endParaRPr>
        </a:p>
      </xdr:txBody>
    </xdr:sp>
    <xdr:clientData/>
  </xdr:twoCellAnchor>
  <xdr:twoCellAnchor>
    <xdr:from>
      <xdr:col>20</xdr:col>
      <xdr:colOff>47625</xdr:colOff>
      <xdr:row>9</xdr:row>
      <xdr:rowOff>66675</xdr:rowOff>
    </xdr:from>
    <xdr:to>
      <xdr:col>21</xdr:col>
      <xdr:colOff>114301</xdr:colOff>
      <xdr:row>10</xdr:row>
      <xdr:rowOff>95250</xdr:rowOff>
    </xdr:to>
    <xdr:sp macro="" textlink="Analyze!M4">
      <xdr:nvSpPr>
        <xdr:cNvPr id="54" name="TextBox 53">
          <a:extLst>
            <a:ext uri="{FF2B5EF4-FFF2-40B4-BE49-F238E27FC236}">
              <a16:creationId xmlns:a16="http://schemas.microsoft.com/office/drawing/2014/main" id="{4A836520-66EE-405D-8BF8-A40903BF22B2}"/>
            </a:ext>
          </a:extLst>
        </xdr:cNvPr>
        <xdr:cNvSpPr txBox="1"/>
      </xdr:nvSpPr>
      <xdr:spPr>
        <a:xfrm>
          <a:off x="12239625" y="1781175"/>
          <a:ext cx="676276"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73BBDD1-0E12-44AF-9815-1B59605C8788}" type="TxLink">
            <a:rPr lang="en-US" sz="900" b="1" i="0" u="none" strike="noStrike">
              <a:solidFill>
                <a:schemeClr val="bg1">
                  <a:lumMod val="75000"/>
                </a:schemeClr>
              </a:solidFill>
              <a:latin typeface="Segoe UI" panose="020B0502040204020203" pitchFamily="34" charset="0"/>
              <a:ea typeface="Calibri"/>
              <a:cs typeface="Segoe UI" panose="020B0502040204020203" pitchFamily="34" charset="0"/>
            </a:rPr>
            <a:pPr marL="0" indent="0"/>
            <a:t>132</a:t>
          </a:fld>
          <a:endParaRPr lang="en-US" sz="900" b="1" i="0" u="none" strike="noStrike">
            <a:solidFill>
              <a:schemeClr val="bg1">
                <a:lumMod val="75000"/>
              </a:schemeClr>
            </a:solidFill>
            <a:latin typeface="Segoe UI" panose="020B0502040204020203" pitchFamily="34" charset="0"/>
            <a:ea typeface="Calibri"/>
            <a:cs typeface="Segoe UI" panose="020B0502040204020203" pitchFamily="34" charset="0"/>
          </a:endParaRPr>
        </a:p>
      </xdr:txBody>
    </xdr:sp>
    <xdr:clientData/>
  </xdr:twoCellAnchor>
  <xdr:twoCellAnchor editAs="oneCell">
    <xdr:from>
      <xdr:col>1</xdr:col>
      <xdr:colOff>276225</xdr:colOff>
      <xdr:row>3</xdr:row>
      <xdr:rowOff>57150</xdr:rowOff>
    </xdr:from>
    <xdr:to>
      <xdr:col>3</xdr:col>
      <xdr:colOff>590550</xdr:colOff>
      <xdr:row>9</xdr:row>
      <xdr:rowOff>142875</xdr:rowOff>
    </xdr:to>
    <mc:AlternateContent xmlns:mc="http://schemas.openxmlformats.org/markup-compatibility/2006" xmlns:a14="http://schemas.microsoft.com/office/drawing/2010/main">
      <mc:Choice Requires="a14">
        <xdr:graphicFrame macro="">
          <xdr:nvGraphicFramePr>
            <xdr:cNvPr id="1033" name="Month Number 2">
              <a:extLst>
                <a:ext uri="{FF2B5EF4-FFF2-40B4-BE49-F238E27FC236}">
                  <a16:creationId xmlns:a16="http://schemas.microsoft.com/office/drawing/2014/main" id="{FD04574A-EC10-4140-B3CC-6B0943EACC6B}"/>
                </a:ext>
              </a:extLst>
            </xdr:cNvPr>
            <xdr:cNvGraphicFramePr/>
          </xdr:nvGraphicFramePr>
          <xdr:xfrm>
            <a:off x="0" y="0"/>
            <a:ext cx="0" cy="0"/>
          </xdr:xfrm>
          <a:graphic>
            <a:graphicData uri="http://schemas.microsoft.com/office/drawing/2010/slicer">
              <sle:slicer xmlns:sle="http://schemas.microsoft.com/office/drawing/2010/slicer" name="Month Number 2"/>
            </a:graphicData>
          </a:graphic>
        </xdr:graphicFrame>
      </mc:Choice>
      <mc:Fallback xmlns="">
        <xdr:sp macro="" textlink="">
          <xdr:nvSpPr>
            <xdr:cNvPr id="0" name=""/>
            <xdr:cNvSpPr>
              <a:spLocks noTextEdit="1"/>
            </xdr:cNvSpPr>
          </xdr:nvSpPr>
          <xdr:spPr>
            <a:xfrm>
              <a:off x="885825" y="628650"/>
              <a:ext cx="1533525" cy="12287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276225</xdr:colOff>
      <xdr:row>2</xdr:row>
      <xdr:rowOff>57150</xdr:rowOff>
    </xdr:from>
    <xdr:to>
      <xdr:col>3</xdr:col>
      <xdr:colOff>504825</xdr:colOff>
      <xdr:row>3</xdr:row>
      <xdr:rowOff>142875</xdr:rowOff>
    </xdr:to>
    <xdr:sp macro="" textlink="">
      <xdr:nvSpPr>
        <xdr:cNvPr id="16" name="TextBox 15">
          <a:extLst>
            <a:ext uri="{FF2B5EF4-FFF2-40B4-BE49-F238E27FC236}">
              <a16:creationId xmlns:a16="http://schemas.microsoft.com/office/drawing/2014/main" id="{18C6A82A-8651-4237-A709-5FD17D4ACC00}"/>
            </a:ext>
          </a:extLst>
        </xdr:cNvPr>
        <xdr:cNvSpPr txBox="1"/>
      </xdr:nvSpPr>
      <xdr:spPr>
        <a:xfrm>
          <a:off x="885825" y="438150"/>
          <a:ext cx="14478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2">
                  <a:lumMod val="90000"/>
                </a:schemeClr>
              </a:solidFill>
              <a:latin typeface="Segoe UI" panose="020B0502040204020203" pitchFamily="34" charset="0"/>
              <a:ea typeface="ADLaM Display" panose="020F0502020204030204" pitchFamily="2" charset="0"/>
              <a:cs typeface="Segoe UI" panose="020B0502040204020203" pitchFamily="34" charset="0"/>
            </a:rPr>
            <a:t>Month</a:t>
          </a:r>
        </a:p>
      </xdr:txBody>
    </xdr:sp>
    <xdr:clientData/>
  </xdr:twoCellAnchor>
  <xdr:twoCellAnchor>
    <xdr:from>
      <xdr:col>1</xdr:col>
      <xdr:colOff>276225</xdr:colOff>
      <xdr:row>22</xdr:row>
      <xdr:rowOff>180975</xdr:rowOff>
    </xdr:from>
    <xdr:to>
      <xdr:col>3</xdr:col>
      <xdr:colOff>504825</xdr:colOff>
      <xdr:row>24</xdr:row>
      <xdr:rowOff>76200</xdr:rowOff>
    </xdr:to>
    <xdr:sp macro="" textlink="">
      <xdr:nvSpPr>
        <xdr:cNvPr id="55" name="TextBox 54">
          <a:extLst>
            <a:ext uri="{FF2B5EF4-FFF2-40B4-BE49-F238E27FC236}">
              <a16:creationId xmlns:a16="http://schemas.microsoft.com/office/drawing/2014/main" id="{227E0D12-24BD-4F4D-BE3C-2BB36804BF50}"/>
            </a:ext>
          </a:extLst>
        </xdr:cNvPr>
        <xdr:cNvSpPr txBox="1"/>
      </xdr:nvSpPr>
      <xdr:spPr>
        <a:xfrm>
          <a:off x="885825" y="4371975"/>
          <a:ext cx="14478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a:solidFill>
                <a:schemeClr val="bg2">
                  <a:lumMod val="90000"/>
                </a:schemeClr>
              </a:solidFill>
              <a:latin typeface="Segoe UI" panose="020B0502040204020203" pitchFamily="34" charset="0"/>
              <a:ea typeface="ADLaM Display" panose="020F0502020204030204" pitchFamily="2" charset="0"/>
              <a:cs typeface="Segoe UI" panose="020B0502040204020203" pitchFamily="34" charset="0"/>
            </a:rPr>
            <a:t>C-Segment</a:t>
          </a:r>
        </a:p>
      </xdr:txBody>
    </xdr:sp>
    <xdr:clientData/>
  </xdr:twoCellAnchor>
  <xdr:twoCellAnchor editAs="oneCell">
    <xdr:from>
      <xdr:col>1</xdr:col>
      <xdr:colOff>266701</xdr:colOff>
      <xdr:row>10</xdr:row>
      <xdr:rowOff>142875</xdr:rowOff>
    </xdr:from>
    <xdr:to>
      <xdr:col>3</xdr:col>
      <xdr:colOff>552450</xdr:colOff>
      <xdr:row>22</xdr:row>
      <xdr:rowOff>152400</xdr:rowOff>
    </xdr:to>
    <mc:AlternateContent xmlns:mc="http://schemas.openxmlformats.org/markup-compatibility/2006" xmlns:a14="http://schemas.microsoft.com/office/drawing/2010/main">
      <mc:Choice Requires="a14">
        <xdr:graphicFrame macro="">
          <xdr:nvGraphicFramePr>
            <xdr:cNvPr id="62" name="Country">
              <a:extLst>
                <a:ext uri="{FF2B5EF4-FFF2-40B4-BE49-F238E27FC236}">
                  <a16:creationId xmlns:a16="http://schemas.microsoft.com/office/drawing/2014/main" id="{609FE036-6A89-412E-98D2-E19A8D5ABB02}"/>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876301" y="2047875"/>
              <a:ext cx="1504949" cy="2295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266700</xdr:colOff>
      <xdr:row>9</xdr:row>
      <xdr:rowOff>133350</xdr:rowOff>
    </xdr:from>
    <xdr:to>
      <xdr:col>3</xdr:col>
      <xdr:colOff>495300</xdr:colOff>
      <xdr:row>11</xdr:row>
      <xdr:rowOff>28575</xdr:rowOff>
    </xdr:to>
    <xdr:sp macro="" textlink="">
      <xdr:nvSpPr>
        <xdr:cNvPr id="18" name="TextBox 17">
          <a:extLst>
            <a:ext uri="{FF2B5EF4-FFF2-40B4-BE49-F238E27FC236}">
              <a16:creationId xmlns:a16="http://schemas.microsoft.com/office/drawing/2014/main" id="{C5BCB4EC-80A1-4AE4-9515-F35CE59ED8AC}"/>
            </a:ext>
          </a:extLst>
        </xdr:cNvPr>
        <xdr:cNvSpPr txBox="1"/>
      </xdr:nvSpPr>
      <xdr:spPr>
        <a:xfrm>
          <a:off x="876300" y="1847850"/>
          <a:ext cx="14478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a:solidFill>
                <a:schemeClr val="bg2">
                  <a:lumMod val="90000"/>
                </a:schemeClr>
              </a:solidFill>
              <a:latin typeface="Segoe UI" panose="020B0502040204020203" pitchFamily="34" charset="0"/>
              <a:ea typeface="ADLaM Display" panose="020F0502020204030204" pitchFamily="2" charset="0"/>
              <a:cs typeface="Segoe UI" panose="020B0502040204020203" pitchFamily="34" charset="0"/>
            </a:rPr>
            <a:t>Country</a:t>
          </a:r>
        </a:p>
      </xdr:txBody>
    </xdr:sp>
    <xdr:clientData/>
  </xdr:twoCellAnchor>
  <mc:AlternateContent xmlns:mc="http://schemas.openxmlformats.org/markup-compatibility/2006">
    <mc:Choice xmlns:a14="http://schemas.microsoft.com/office/drawing/2010/main" Requires="a14">
      <xdr:twoCellAnchor>
        <xdr:from>
          <xdr:col>1</xdr:col>
          <xdr:colOff>371475</xdr:colOff>
          <xdr:row>32</xdr:row>
          <xdr:rowOff>133350</xdr:rowOff>
        </xdr:from>
        <xdr:to>
          <xdr:col>3</xdr:col>
          <xdr:colOff>419100</xdr:colOff>
          <xdr:row>34</xdr:row>
          <xdr:rowOff>19050</xdr:rowOff>
        </xdr:to>
        <xdr:sp macro="" textlink="">
          <xdr:nvSpPr>
            <xdr:cNvPr id="1031" name="Button 7" descr="CLEAR ALL SLICERS"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Segoe UI"/>
                  <a:cs typeface="Segoe UI"/>
                </a:rPr>
                <a:t>CLEAR ALL SLICERS</a:t>
              </a:r>
            </a:p>
          </xdr:txBody>
        </xdr:sp>
        <xdr:clientData fPrintsWithSheet="0"/>
      </xdr:twoCellAnchor>
    </mc:Choice>
    <mc:Fallback/>
  </mc:AlternateContent>
  <xdr:twoCellAnchor>
    <xdr:from>
      <xdr:col>15</xdr:col>
      <xdr:colOff>19049</xdr:colOff>
      <xdr:row>1</xdr:row>
      <xdr:rowOff>161925</xdr:rowOff>
    </xdr:from>
    <xdr:to>
      <xdr:col>16</xdr:col>
      <xdr:colOff>219075</xdr:colOff>
      <xdr:row>3</xdr:row>
      <xdr:rowOff>57150</xdr:rowOff>
    </xdr:to>
    <xdr:sp macro="" textlink="">
      <xdr:nvSpPr>
        <xdr:cNvPr id="63" name="TextBox 62">
          <a:extLst>
            <a:ext uri="{FF2B5EF4-FFF2-40B4-BE49-F238E27FC236}">
              <a16:creationId xmlns:a16="http://schemas.microsoft.com/office/drawing/2014/main" id="{530D86D9-CD07-4506-A4E5-5F4ED6A39D7A}"/>
            </a:ext>
          </a:extLst>
        </xdr:cNvPr>
        <xdr:cNvSpPr txBox="1"/>
      </xdr:nvSpPr>
      <xdr:spPr>
        <a:xfrm>
          <a:off x="9163049" y="352425"/>
          <a:ext cx="809626"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2">
                  <a:lumMod val="90000"/>
                </a:schemeClr>
              </a:solidFill>
              <a:latin typeface="Segoe UI" panose="020B0502040204020203" pitchFamily="34" charset="0"/>
              <a:ea typeface="ADLaM Display" panose="020F0502020204030204" pitchFamily="2" charset="0"/>
              <a:cs typeface="Segoe UI" panose="020B0502040204020203" pitchFamily="34" charset="0"/>
            </a:rPr>
            <a:t>Quarter</a:t>
          </a:r>
        </a:p>
      </xdr:txBody>
    </xdr:sp>
    <xdr:clientData/>
  </xdr:twoCellAnchor>
  <xdr:twoCellAnchor>
    <xdr:from>
      <xdr:col>19</xdr:col>
      <xdr:colOff>142874</xdr:colOff>
      <xdr:row>1</xdr:row>
      <xdr:rowOff>161925</xdr:rowOff>
    </xdr:from>
    <xdr:to>
      <xdr:col>20</xdr:col>
      <xdr:colOff>152400</xdr:colOff>
      <xdr:row>3</xdr:row>
      <xdr:rowOff>57150</xdr:rowOff>
    </xdr:to>
    <xdr:sp macro="" textlink="">
      <xdr:nvSpPr>
        <xdr:cNvPr id="1024" name="TextBox 1023">
          <a:extLst>
            <a:ext uri="{FF2B5EF4-FFF2-40B4-BE49-F238E27FC236}">
              <a16:creationId xmlns:a16="http://schemas.microsoft.com/office/drawing/2014/main" id="{7C3A453D-AA1F-4BC7-989F-21E9E687DA50}"/>
            </a:ext>
          </a:extLst>
        </xdr:cNvPr>
        <xdr:cNvSpPr txBox="1"/>
      </xdr:nvSpPr>
      <xdr:spPr>
        <a:xfrm>
          <a:off x="11725274" y="352425"/>
          <a:ext cx="619126"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2">
                  <a:lumMod val="90000"/>
                </a:schemeClr>
              </a:solidFill>
              <a:latin typeface="Segoe UI" panose="020B0502040204020203" pitchFamily="34" charset="0"/>
              <a:ea typeface="ADLaM Display" panose="020F0502020204030204" pitchFamily="2" charset="0"/>
              <a:cs typeface="Segoe UI" panose="020B0502040204020203" pitchFamily="34" charset="0"/>
            </a:rPr>
            <a:t>Year</a:t>
          </a:r>
        </a:p>
      </xdr:txBody>
    </xdr:sp>
    <xdr:clientData/>
  </xdr:twoCellAnchor>
  <xdr:twoCellAnchor>
    <xdr:from>
      <xdr:col>15</xdr:col>
      <xdr:colOff>95250</xdr:colOff>
      <xdr:row>12</xdr:row>
      <xdr:rowOff>180975</xdr:rowOff>
    </xdr:from>
    <xdr:to>
      <xdr:col>22</xdr:col>
      <xdr:colOff>19050</xdr:colOff>
      <xdr:row>23</xdr:row>
      <xdr:rowOff>66675</xdr:rowOff>
    </xdr:to>
    <xdr:graphicFrame macro="">
      <xdr:nvGraphicFramePr>
        <xdr:cNvPr id="17" name="Chart 16">
          <a:extLst>
            <a:ext uri="{FF2B5EF4-FFF2-40B4-BE49-F238E27FC236}">
              <a16:creationId xmlns:a16="http://schemas.microsoft.com/office/drawing/2014/main" id="{9B56BC56-02BF-4943-95C2-E24BD896CC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11</xdr:col>
      <xdr:colOff>823911</xdr:colOff>
      <xdr:row>15</xdr:row>
      <xdr:rowOff>0</xdr:rowOff>
    </xdr:from>
    <xdr:to>
      <xdr:col>15</xdr:col>
      <xdr:colOff>552450</xdr:colOff>
      <xdr:row>18</xdr:row>
      <xdr:rowOff>112395</xdr:rowOff>
    </xdr:to>
    <xdr:graphicFrame macro="">
      <xdr:nvGraphicFramePr>
        <xdr:cNvPr id="6" name="Chart 5">
          <a:extLst>
            <a:ext uri="{FF2B5EF4-FFF2-40B4-BE49-F238E27FC236}">
              <a16:creationId xmlns:a16="http://schemas.microsoft.com/office/drawing/2014/main" id="{E3C74D16-C48D-79B7-7929-FC77FEEBD8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SI GAMING" refreshedDate="46076.710115624999" backgroundQuery="1" createdVersion="8" refreshedVersion="8" minRefreshableVersion="3" recordCount="0" supportSubquery="1" supportAdvancedDrill="1" xr:uid="{6F1BF508-72A9-4B79-A5FE-09399A56AD4A}">
  <cacheSource type="external" connectionId="7"/>
  <cacheFields count="5">
    <cacheField name="[Measures].[Revenue LY]" caption="Revenue LY" numFmtId="0" hierarchy="34" level="32767"/>
    <cacheField name="[Measures].[Profit LY]" caption="Profit LY" numFmtId="0" hierarchy="36" level="32767"/>
    <cacheField name="[Measures].[Profit Margin LY]" caption="Profit Margin LY" numFmtId="0" hierarchy="38" level="32767"/>
    <cacheField name="[Measures].[Total Units Sold LY]" caption="Total Units Sold LY" numFmtId="0" hierarchy="40" level="32767"/>
    <cacheField name="[Measures].[Total Customer LY]" caption="Total Customer LY" numFmtId="0" hierarchy="42" level="32767"/>
  </cacheFields>
  <cacheHierarchies count="52">
    <cacheHierarchy uniqueName="[dim_customer].[Customer_ID]" caption="Customer_ID" attribute="1" defaultMemberUniqueName="[dim_customer].[Customer_ID].[All]" allUniqueName="[dim_customer].[Customer_ID].[All]" dimensionUniqueName="[dim_customer]" displayFolder="" count="0" memberValueDatatype="130" unbalanced="0"/>
    <cacheHierarchy uniqueName="[dim_customer].[Customer_Name]" caption="Customer_Name" attribute="1" defaultMemberUniqueName="[dim_customer].[Customer_Name].[All]" allUniqueName="[dim_customer].[Customer_Name].[All]" dimensionUniqueName="[dim_customer]" displayFolder="" count="0" memberValueDatatype="130" unbalanced="0"/>
    <cacheHierarchy uniqueName="[dim_customer_segment].[Customer_Segment_ID]" caption="Customer_Segment_ID" attribute="1" defaultMemberUniqueName="[dim_customer_segment].[Customer_Segment_ID].[All]" allUniqueName="[dim_customer_segment].[Customer_Segment_ID].[All]" dimensionUniqueName="[dim_customer_segment]" displayFolder="" count="0" memberValueDatatype="130" unbalanced="0"/>
    <cacheHierarchy uniqueName="[dim_customer_segment].[Customer_Segment_Name]" caption="Customer_Segment_Name" attribute="1" defaultMemberUniqueName="[dim_customer_segment].[Customer_Segment_Name].[All]" allUniqueName="[dim_customer_segment].[Customer_Segment_Name].[All]" dimensionUniqueName="[dim_customer_segment]" displayFolder="" count="0" memberValueDatatype="130" unbalanced="0"/>
    <cacheHierarchy uniqueName="[dim_date].[Date]" caption="Date" attribute="1" time="1" keyAttribute="1" defaultMemberUniqueName="[dim_date].[Date].[All]" allUniqueName="[dim_date].[Date].[All]" dimensionUniqueName="[dim_date]" displayFolder="" count="0" memberValueDatatype="7" unbalanced="0"/>
    <cacheHierarchy uniqueName="[dim_date].[Date Hierarchy]" caption="Date Hierarchy" time="1" defaultMemberUniqueName="[dim_date].[Date Hierarchy].[All]" allUniqueName="[dim_date].[Date Hierarchy].[All]" dimensionUniqueName="[dim_date]" displayFolder="" count="0" unbalanced="0"/>
    <cacheHierarchy uniqueName="[dim_date].[Year]" caption="Year" attribute="1" time="1" defaultMemberUniqueName="[dim_date].[Year].[All]" allUniqueName="[dim_date].[Year].[All]" dimensionUniqueName="[dim_date]" displayFolder="" count="0" memberValueDatatype="20" unbalanced="0"/>
    <cacheHierarchy uniqueName="[dim_date].[Month Number]" caption="Month Number" attribute="1" time="1" defaultMemberUniqueName="[dim_date].[Month Number].[All]" allUniqueName="[dim_date].[Month Number].[All]" dimensionUniqueName="[dim_date]" displayFolder="" count="0" memberValueDatatype="20" unbalanced="0"/>
    <cacheHierarchy uniqueName="[dim_date].[Month]" caption="Month" attribute="1" time="1" defaultMemberUniqueName="[dim_date].[Month].[All]" allUniqueName="[dim_date].[Month].[All]" dimensionUniqueName="[dim_date]" displayFolder="" count="0" memberValueDatatype="130" unbalanced="0"/>
    <cacheHierarchy uniqueName="[dim_date].[MMM-YYYY]" caption="MMM-YYYY" attribute="1" time="1" defaultMemberUniqueName="[dim_date].[MMM-YYYY].[All]" allUniqueName="[dim_date].[MMM-YYYY].[All]" dimensionUniqueName="[dim_date]" displayFolder="" count="0" memberValueDatatype="130" unbalanced="0"/>
    <cacheHierarchy uniqueName="[dim_date].[Day Of Week Number]" caption="Day Of Week Number" attribute="1" time="1" defaultMemberUniqueName="[dim_date].[Day Of Week Number].[All]" allUniqueName="[dim_date].[Day Of Week Number].[All]" dimensionUniqueName="[dim_date]" displayFolder="" count="0" memberValueDatatype="20" unbalanced="0"/>
    <cacheHierarchy uniqueName="[dim_date].[Day Of Week]" caption="Day Of Week" attribute="1" time="1" defaultMemberUniqueName="[dim_date].[Day Of Week].[All]" allUniqueName="[dim_date].[Day Of Week].[All]" dimensionUniqueName="[dim_date]" displayFolder="" count="0" memberValueDatatype="130" unbalanced="0"/>
    <cacheHierarchy uniqueName="[dim_date].[Year Month]" caption="Year Month" attribute="1" time="1" defaultMemberUniqueName="[dim_date].[Year Month].[All]" allUniqueName="[dim_date].[Year Month].[All]" dimensionUniqueName="[dim_date]" displayFolder="" count="0" memberValueDatatype="130" unbalanced="0"/>
    <cacheHierarchy uniqueName="[dim_date].[Quarter]" caption="Quarter" attribute="1" time="1" defaultMemberUniqueName="[dim_date].[Quarter].[All]" allUniqueName="[dim_date].[Quarter].[All]" dimensionUniqueName="[dim_date]" displayFolder="" count="0" memberValueDatatype="130" unbalanced="0"/>
    <cacheHierarchy uniqueName="[dim_product].[Product_ID]" caption="Product_ID" attribute="1" defaultMemberUniqueName="[dim_product].[Product_ID].[All]" allUniqueName="[dim_product].[Product_ID].[All]" dimensionUniqueName="[dim_product]" displayFolder="" count="0" memberValueDatatype="130" unbalanced="0"/>
    <cacheHierarchy uniqueName="[dim_product].[Product_Name]" caption="Product_Name" attribute="1" defaultMemberUniqueName="[dim_product].[Product_Name].[All]" allUniqueName="[dim_product].[Product_Name].[All]" dimensionUniqueName="[dim_product]" displayFolder="" count="0" memberValueDatatype="130" unbalanced="0"/>
    <cacheHierarchy uniqueName="[dim_product].[Manufacturing_Price]" caption="Manufacturing_Price" attribute="1" defaultMemberUniqueName="[dim_product].[Manufacturing_Price].[All]" allUniqueName="[dim_product].[Manufacturing_Price].[All]" dimensionUniqueName="[dim_product]" displayFolder="" count="0" memberValueDatatype="5" unbalanced="0"/>
    <cacheHierarchy uniqueName="[dim_region].[Region_ID]" caption="Region_ID" attribute="1" defaultMemberUniqueName="[dim_region].[Region_ID].[All]" allUniqueName="[dim_region].[Region_ID].[All]" dimensionUniqueName="[dim_region]" displayFolder="" count="0" memberValueDatatype="130" unbalanced="0"/>
    <cacheHierarchy uniqueName="[dim_region].[Country]" caption="Country" attribute="1" defaultMemberUniqueName="[dim_region].[Country].[All]" allUniqueName="[dim_region].[Country].[All]" dimensionUniqueName="[dim_region]" displayFolder="" count="0" memberValueDatatype="130" unbalanced="0"/>
    <cacheHierarchy uniqueName="[dim_region].[Continent]" caption="Continent" attribute="1" defaultMemberUniqueName="[dim_region].[Continent].[All]" allUniqueName="[dim_region].[Continent].[All]" dimensionUniqueName="[dim_region]" displayFolder="" count="0" memberValueDatatype="130" unbalanced="0"/>
    <cacheHierarchy uniqueName="[fact_sale_2020-2021].[Order_Date]" caption="Order_Date" attribute="1" time="1" defaultMemberUniqueName="[fact_sale_2020-2021].[Order_Date].[All]" allUniqueName="[fact_sale_2020-2021].[Order_Date].[All]" dimensionUniqueName="[fact_sale_2020-2021]" displayFolder="" count="0" memberValueDatatype="7" unbalanced="0"/>
    <cacheHierarchy uniqueName="[fact_sale_2020-2021].[Product_ID]" caption="Product_ID" attribute="1" defaultMemberUniqueName="[fact_sale_2020-2021].[Product_ID].[All]" allUniqueName="[fact_sale_2020-2021].[Product_ID].[All]" dimensionUniqueName="[fact_sale_2020-2021]" displayFolder="" count="0" memberValueDatatype="130" unbalanced="0"/>
    <cacheHierarchy uniqueName="[fact_sale_2020-2021].[Customer_ID]" caption="Customer_ID" attribute="1" defaultMemberUniqueName="[fact_sale_2020-2021].[Customer_ID].[All]" allUniqueName="[fact_sale_2020-2021].[Customer_ID].[All]" dimensionUniqueName="[fact_sale_2020-2021]" displayFolder="" count="0" memberValueDatatype="130" unbalanced="0"/>
    <cacheHierarchy uniqueName="[fact_sale_2020-2021].[Customer_Segment_ID]" caption="Customer_Segment_ID" attribute="1" defaultMemberUniqueName="[fact_sale_2020-2021].[Customer_Segment_ID].[All]" allUniqueName="[fact_sale_2020-2021].[Customer_Segment_ID].[All]" dimensionUniqueName="[fact_sale_2020-2021]" displayFolder="" count="0" memberValueDatatype="130" unbalanced="0"/>
    <cacheHierarchy uniqueName="[fact_sale_2020-2021].[Region_ID]" caption="Region_ID" attribute="1" defaultMemberUniqueName="[fact_sale_2020-2021].[Region_ID].[All]" allUniqueName="[fact_sale_2020-2021].[Region_ID].[All]" dimensionUniqueName="[fact_sale_2020-2021]" displayFolder="" count="0" memberValueDatatype="130" unbalanced="0"/>
    <cacheHierarchy uniqueName="[fact_sale_2020-2021].[Discount_Rate]" caption="Discount_Rate" attribute="1" defaultMemberUniqueName="[fact_sale_2020-2021].[Discount_Rate].[All]" allUniqueName="[fact_sale_2020-2021].[Discount_Rate].[All]" dimensionUniqueName="[fact_sale_2020-2021]" displayFolder="" count="0" memberValueDatatype="5" unbalanced="0"/>
    <cacheHierarchy uniqueName="[fact_sale_2020-2021].[Units_Sold]" caption="Units_Sold" attribute="1" defaultMemberUniqueName="[fact_sale_2020-2021].[Units_Sold].[All]" allUniqueName="[fact_sale_2020-2021].[Units_Sold].[All]" dimensionUniqueName="[fact_sale_2020-2021]" displayFolder="" count="0" memberValueDatatype="20" unbalanced="0"/>
    <cacheHierarchy uniqueName="[fact_sale_2020-2021].[Sale_Price]" caption="Sale_Price" attribute="1" defaultMemberUniqueName="[fact_sale_2020-2021].[Sale_Price].[All]" allUniqueName="[fact_sale_2020-2021].[Sale_Price].[All]" dimensionUniqueName="[fact_sale_2020-2021]" displayFolder="" count="0" memberValueDatatype="5" unbalanced="0"/>
    <cacheHierarchy uniqueName="[Measures].[Total Revenue]" caption="Total Revenue" measure="1" displayFolder="" measureGroup="fact_sale_2020-2021" count="0"/>
    <cacheHierarchy uniqueName="[Measures].[Total Cost]" caption="Total Cost" measure="1" displayFolder="" measureGroup="fact_sale_2020-2021" count="0"/>
    <cacheHierarchy uniqueName="[Measures].[Profit]" caption="Profit" measure="1" displayFolder="" measureGroup="fact_sale_2020-2021" count="0"/>
    <cacheHierarchy uniqueName="[Measures].[Profit Margin]" caption="Profit Margin" measure="1" displayFolder="" measureGroup="fact_sale_2020-2021" count="0"/>
    <cacheHierarchy uniqueName="[Measures].[Total Units Sold]" caption="Total Units Sold" measure="1" displayFolder="" measureGroup="fact_sale_2020-2021" count="0"/>
    <cacheHierarchy uniqueName="[Measures].[Total Customer]" caption="Total Customer" measure="1" displayFolder="" measureGroup="fact_sale_2020-2021" count="0"/>
    <cacheHierarchy uniqueName="[Measures].[Revenue LY]" caption="Revenue LY" measure="1" displayFolder="" measureGroup="fact_sale_2020-2021" count="0" oneField="1">
      <fieldsUsage count="1">
        <fieldUsage x="0"/>
      </fieldsUsage>
    </cacheHierarchy>
    <cacheHierarchy uniqueName="[Measures].[Revenue YoY%]" caption="Revenue YoY%" measure="1" displayFolder="" measureGroup="fact_sale_2020-2021" count="0"/>
    <cacheHierarchy uniqueName="[Measures].[Profit LY]" caption="Profit LY" measure="1" displayFolder="" measureGroup="fact_sale_2020-2021" count="0" oneField="1">
      <fieldsUsage count="1">
        <fieldUsage x="1"/>
      </fieldsUsage>
    </cacheHierarchy>
    <cacheHierarchy uniqueName="[Measures].[Profit YoY%]" caption="Profit YoY%" measure="1" displayFolder="" measureGroup="fact_sale_2020-2021" count="0"/>
    <cacheHierarchy uniqueName="[Measures].[Profit Margin LY]" caption="Profit Margin LY" measure="1" displayFolder="" measureGroup="fact_sale_2020-2021" count="0" oneField="1">
      <fieldsUsage count="1">
        <fieldUsage x="2"/>
      </fieldsUsage>
    </cacheHierarchy>
    <cacheHierarchy uniqueName="[Measures].[Profit Margin YoY (pp)]" caption="Profit Margin YoY (pp)" measure="1" displayFolder="" measureGroup="fact_sale_2020-2021" count="0"/>
    <cacheHierarchy uniqueName="[Measures].[Total Units Sold LY]" caption="Total Units Sold LY" measure="1" displayFolder="" measureGroup="fact_sale_2020-2021" count="0" oneField="1">
      <fieldsUsage count="1">
        <fieldUsage x="3"/>
      </fieldsUsage>
    </cacheHierarchy>
    <cacheHierarchy uniqueName="[Measures].[Units Sold YoY]" caption="Units Sold YoY" measure="1" displayFolder="" measureGroup="fact_sale_2020-2021" count="0"/>
    <cacheHierarchy uniqueName="[Measures].[Total Customer LY]" caption="Total Customer LY" measure="1" displayFolder="" measureGroup="fact_sale_2020-2021" count="0" oneField="1">
      <fieldsUsage count="1">
        <fieldUsage x="4"/>
      </fieldsUsage>
    </cacheHierarchy>
    <cacheHierarchy uniqueName="[Measures].[Customer YoY]" caption="Customer YoY" measure="1" displayFolder="" measureGroup="fact_sale_2020-2021" count="0"/>
    <cacheHierarchy uniqueName="[Measures].[__XL_Count fact_sale_2020-2021]" caption="__XL_Count fact_sale_2020-2021" measure="1" displayFolder="" measureGroup="fact_sale_2020-2021" count="0" hidden="1"/>
    <cacheHierarchy uniqueName="[Measures].[__XL_Count dim_customer]" caption="__XL_Count dim_customer" measure="1" displayFolder="" measureGroup="dim_customer" count="0" hidden="1"/>
    <cacheHierarchy uniqueName="[Measures].[__XL_Count dim_customer_segment]" caption="__XL_Count dim_customer_segment" measure="1" displayFolder="" measureGroup="dim_customer_segment" count="0" hidden="1"/>
    <cacheHierarchy uniqueName="[Measures].[__XL_Count dim_product]" caption="__XL_Count dim_product" measure="1" displayFolder="" measureGroup="dim_product" count="0" hidden="1"/>
    <cacheHierarchy uniqueName="[Measures].[__XL_Count dim_region]" caption="__XL_Count dim_region" measure="1" displayFolder="" measureGroup="dim_region" count="0" hidden="1"/>
    <cacheHierarchy uniqueName="[Measures].[__XL_Count Calendar]" caption="__XL_Count Calendar" measure="1" displayFolder="" measureGroup="dim_date" count="0" hidden="1"/>
    <cacheHierarchy uniqueName="[Measures].[__No measures defined]" caption="__No measures defined" measure="1" displayFolder="" count="0" hidden="1"/>
    <cacheHierarchy uniqueName="[Measures].[Sum of Discount_Rate]" caption="Sum of Discount_Rate" measure="1" displayFolder="" measureGroup="fact_sale_2020-2021" count="0" hidden="1">
      <extLst>
        <ext xmlns:x15="http://schemas.microsoft.com/office/spreadsheetml/2010/11/main" uri="{B97F6D7D-B522-45F9-BDA1-12C45D357490}">
          <x15:cacheHierarchy aggregatedColumn="25"/>
        </ext>
      </extLst>
    </cacheHierarchy>
  </cacheHierarchies>
  <kpis count="0"/>
  <dimensions count="7">
    <dimension name="dim_customer" uniqueName="[dim_customer]" caption="dim_customer"/>
    <dimension name="dim_customer_segment" uniqueName="[dim_customer_segment]" caption="dim_customer_segment"/>
    <dimension name="dim_date" uniqueName="[dim_date]" caption="dim_date"/>
    <dimension name="dim_product" uniqueName="[dim_product]" caption="dim_product"/>
    <dimension name="dim_region" uniqueName="[dim_region]" caption="dim_region"/>
    <dimension name="fact_sale_2020-2021" uniqueName="[fact_sale_2020-2021]" caption="fact_sale_2020-2021"/>
    <dimension measure="1" name="Measures" uniqueName="[Measures]" caption="Measures"/>
  </dimensions>
  <measureGroups count="6">
    <measureGroup name="dim_customer" caption="dim_customer"/>
    <measureGroup name="dim_customer_segment" caption="dim_customer_segment"/>
    <measureGroup name="dim_date" caption="dim_date"/>
    <measureGroup name="dim_product" caption="dim_product"/>
    <measureGroup name="dim_region" caption="dim_region"/>
    <measureGroup name="fact_sale_2020-2021" caption="fact_sale_2020-2021"/>
  </measureGroups>
  <maps count="11">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SI GAMING" refreshedDate="46076.734856134259" backgroundQuery="1" createdVersion="8" refreshedVersion="8" minRefreshableVersion="3" recordCount="0" supportSubquery="1" supportAdvancedDrill="1" xr:uid="{A97AFAB2-F53F-43FB-B616-278317CDBA6F}">
  <cacheSource type="external" connectionId="7"/>
  <cacheFields count="5">
    <cacheField name="[Measures].[Total Revenue]" caption="Total Revenue" numFmtId="0" hierarchy="28" level="32767"/>
    <cacheField name="[Measures].[Profit]" caption="Profit" numFmtId="0" hierarchy="30" level="32767"/>
    <cacheField name="[Measures].[Profit Margin]" caption="Profit Margin" numFmtId="0" hierarchy="31" level="32767"/>
    <cacheField name="[Measures].[Total Units Sold]" caption="Total Units Sold" numFmtId="0" hierarchy="32" level="32767"/>
    <cacheField name="[Measures].[Total Customer]" caption="Total Customer" numFmtId="0" hierarchy="33" level="32767"/>
  </cacheFields>
  <cacheHierarchies count="52">
    <cacheHierarchy uniqueName="[dim_customer].[Customer_ID]" caption="Customer_ID" attribute="1" defaultMemberUniqueName="[dim_customer].[Customer_ID].[All]" allUniqueName="[dim_customer].[Customer_ID].[All]" dimensionUniqueName="[dim_customer]" displayFolder="" count="0" memberValueDatatype="130" unbalanced="0"/>
    <cacheHierarchy uniqueName="[dim_customer].[Customer_Name]" caption="Customer_Name" attribute="1" defaultMemberUniqueName="[dim_customer].[Customer_Name].[All]" allUniqueName="[dim_customer].[Customer_Name].[All]" dimensionUniqueName="[dim_customer]" displayFolder="" count="0" memberValueDatatype="130" unbalanced="0"/>
    <cacheHierarchy uniqueName="[dim_customer_segment].[Customer_Segment_ID]" caption="Customer_Segment_ID" attribute="1" defaultMemberUniqueName="[dim_customer_segment].[Customer_Segment_ID].[All]" allUniqueName="[dim_customer_segment].[Customer_Segment_ID].[All]" dimensionUniqueName="[dim_customer_segment]" displayFolder="" count="0" memberValueDatatype="130" unbalanced="0"/>
    <cacheHierarchy uniqueName="[dim_customer_segment].[Customer_Segment_Name]" caption="Customer_Segment_Name" attribute="1" defaultMemberUniqueName="[dim_customer_segment].[Customer_Segment_Name].[All]" allUniqueName="[dim_customer_segment].[Customer_Segment_Name].[All]" dimensionUniqueName="[dim_customer_segment]" displayFolder="" count="0" memberValueDatatype="130" unbalanced="0"/>
    <cacheHierarchy uniqueName="[dim_date].[Date]" caption="Date" attribute="1" time="1" keyAttribute="1" defaultMemberUniqueName="[dim_date].[Date].[All]" allUniqueName="[dim_date].[Date].[All]" dimensionUniqueName="[dim_date]" displayFolder="" count="0" memberValueDatatype="7" unbalanced="0"/>
    <cacheHierarchy uniqueName="[dim_date].[Date Hierarchy]" caption="Date Hierarchy" time="1" defaultMemberUniqueName="[dim_date].[Date Hierarchy].[All]" allUniqueName="[dim_date].[Date Hierarchy].[All]" dimensionUniqueName="[dim_date]" displayFolder="" count="0" unbalanced="0"/>
    <cacheHierarchy uniqueName="[dim_date].[Year]" caption="Year" attribute="1" time="1" defaultMemberUniqueName="[dim_date].[Year].[All]" allUniqueName="[dim_date].[Year].[All]" dimensionUniqueName="[dim_date]" displayFolder="" count="0" memberValueDatatype="20" unbalanced="0"/>
    <cacheHierarchy uniqueName="[dim_date].[Month Number]" caption="Month Number" attribute="1" time="1" defaultMemberUniqueName="[dim_date].[Month Number].[All]" allUniqueName="[dim_date].[Month Number].[All]" dimensionUniqueName="[dim_date]" displayFolder="" count="0" memberValueDatatype="20" unbalanced="0"/>
    <cacheHierarchy uniqueName="[dim_date].[Month]" caption="Month" attribute="1" time="1" defaultMemberUniqueName="[dim_date].[Month].[All]" allUniqueName="[dim_date].[Month].[All]" dimensionUniqueName="[dim_date]" displayFolder="" count="0" memberValueDatatype="130" unbalanced="0"/>
    <cacheHierarchy uniqueName="[dim_date].[MMM-YYYY]" caption="MMM-YYYY" attribute="1" time="1" defaultMemberUniqueName="[dim_date].[MMM-YYYY].[All]" allUniqueName="[dim_date].[MMM-YYYY].[All]" dimensionUniqueName="[dim_date]" displayFolder="" count="0" memberValueDatatype="130" unbalanced="0"/>
    <cacheHierarchy uniqueName="[dim_date].[Day Of Week Number]" caption="Day Of Week Number" attribute="1" time="1" defaultMemberUniqueName="[dim_date].[Day Of Week Number].[All]" allUniqueName="[dim_date].[Day Of Week Number].[All]" dimensionUniqueName="[dim_date]" displayFolder="" count="0" memberValueDatatype="20" unbalanced="0"/>
    <cacheHierarchy uniqueName="[dim_date].[Day Of Week]" caption="Day Of Week" attribute="1" time="1" defaultMemberUniqueName="[dim_date].[Day Of Week].[All]" allUniqueName="[dim_date].[Day Of Week].[All]" dimensionUniqueName="[dim_date]" displayFolder="" count="0" memberValueDatatype="130" unbalanced="0"/>
    <cacheHierarchy uniqueName="[dim_date].[Year Month]" caption="Year Month" attribute="1" time="1" defaultMemberUniqueName="[dim_date].[Year Month].[All]" allUniqueName="[dim_date].[Year Month].[All]" dimensionUniqueName="[dim_date]" displayFolder="" count="0" memberValueDatatype="130" unbalanced="0"/>
    <cacheHierarchy uniqueName="[dim_date].[Quarter]" caption="Quarter" attribute="1" time="1" defaultMemberUniqueName="[dim_date].[Quarter].[All]" allUniqueName="[dim_date].[Quarter].[All]" dimensionUniqueName="[dim_date]" displayFolder="" count="0" memberValueDatatype="130" unbalanced="0"/>
    <cacheHierarchy uniqueName="[dim_product].[Product_ID]" caption="Product_ID" attribute="1" defaultMemberUniqueName="[dim_product].[Product_ID].[All]" allUniqueName="[dim_product].[Product_ID].[All]" dimensionUniqueName="[dim_product]" displayFolder="" count="0" memberValueDatatype="130" unbalanced="0"/>
    <cacheHierarchy uniqueName="[dim_product].[Product_Name]" caption="Product_Name" attribute="1" defaultMemberUniqueName="[dim_product].[Product_Name].[All]" allUniqueName="[dim_product].[Product_Name].[All]" dimensionUniqueName="[dim_product]" displayFolder="" count="0" memberValueDatatype="130" unbalanced="0"/>
    <cacheHierarchy uniqueName="[dim_product].[Manufacturing_Price]" caption="Manufacturing_Price" attribute="1" defaultMemberUniqueName="[dim_product].[Manufacturing_Price].[All]" allUniqueName="[dim_product].[Manufacturing_Price].[All]" dimensionUniqueName="[dim_product]" displayFolder="" count="0" memberValueDatatype="5" unbalanced="0"/>
    <cacheHierarchy uniqueName="[dim_region].[Region_ID]" caption="Region_ID" attribute="1" defaultMemberUniqueName="[dim_region].[Region_ID].[All]" allUniqueName="[dim_region].[Region_ID].[All]" dimensionUniqueName="[dim_region]" displayFolder="" count="0" memberValueDatatype="130" unbalanced="0"/>
    <cacheHierarchy uniqueName="[dim_region].[Country]" caption="Country" attribute="1" defaultMemberUniqueName="[dim_region].[Country].[All]" allUniqueName="[dim_region].[Country].[All]" dimensionUniqueName="[dim_region]" displayFolder="" count="0" memberValueDatatype="130" unbalanced="0"/>
    <cacheHierarchy uniqueName="[dim_region].[Continent]" caption="Continent" attribute="1" defaultMemberUniqueName="[dim_region].[Continent].[All]" allUniqueName="[dim_region].[Continent].[All]" dimensionUniqueName="[dim_region]" displayFolder="" count="0" memberValueDatatype="130" unbalanced="0"/>
    <cacheHierarchy uniqueName="[fact_sale_2020-2021].[Order_Date]" caption="Order_Date" attribute="1" time="1" defaultMemberUniqueName="[fact_sale_2020-2021].[Order_Date].[All]" allUniqueName="[fact_sale_2020-2021].[Order_Date].[All]" dimensionUniqueName="[fact_sale_2020-2021]" displayFolder="" count="0" memberValueDatatype="7" unbalanced="0"/>
    <cacheHierarchy uniqueName="[fact_sale_2020-2021].[Product_ID]" caption="Product_ID" attribute="1" defaultMemberUniqueName="[fact_sale_2020-2021].[Product_ID].[All]" allUniqueName="[fact_sale_2020-2021].[Product_ID].[All]" dimensionUniqueName="[fact_sale_2020-2021]" displayFolder="" count="0" memberValueDatatype="130" unbalanced="0"/>
    <cacheHierarchy uniqueName="[fact_sale_2020-2021].[Customer_ID]" caption="Customer_ID" attribute="1" defaultMemberUniqueName="[fact_sale_2020-2021].[Customer_ID].[All]" allUniqueName="[fact_sale_2020-2021].[Customer_ID].[All]" dimensionUniqueName="[fact_sale_2020-2021]" displayFolder="" count="0" memberValueDatatype="130" unbalanced="0"/>
    <cacheHierarchy uniqueName="[fact_sale_2020-2021].[Customer_Segment_ID]" caption="Customer_Segment_ID" attribute="1" defaultMemberUniqueName="[fact_sale_2020-2021].[Customer_Segment_ID].[All]" allUniqueName="[fact_sale_2020-2021].[Customer_Segment_ID].[All]" dimensionUniqueName="[fact_sale_2020-2021]" displayFolder="" count="0" memberValueDatatype="130" unbalanced="0"/>
    <cacheHierarchy uniqueName="[fact_sale_2020-2021].[Region_ID]" caption="Region_ID" attribute="1" defaultMemberUniqueName="[fact_sale_2020-2021].[Region_ID].[All]" allUniqueName="[fact_sale_2020-2021].[Region_ID].[All]" dimensionUniqueName="[fact_sale_2020-2021]" displayFolder="" count="0" memberValueDatatype="130" unbalanced="0"/>
    <cacheHierarchy uniqueName="[fact_sale_2020-2021].[Discount_Rate]" caption="Discount_Rate" attribute="1" defaultMemberUniqueName="[fact_sale_2020-2021].[Discount_Rate].[All]" allUniqueName="[fact_sale_2020-2021].[Discount_Rate].[All]" dimensionUniqueName="[fact_sale_2020-2021]" displayFolder="" count="0" memberValueDatatype="5" unbalanced="0"/>
    <cacheHierarchy uniqueName="[fact_sale_2020-2021].[Units_Sold]" caption="Units_Sold" attribute="1" defaultMemberUniqueName="[fact_sale_2020-2021].[Units_Sold].[All]" allUniqueName="[fact_sale_2020-2021].[Units_Sold].[All]" dimensionUniqueName="[fact_sale_2020-2021]" displayFolder="" count="0" memberValueDatatype="20" unbalanced="0"/>
    <cacheHierarchy uniqueName="[fact_sale_2020-2021].[Sale_Price]" caption="Sale_Price" attribute="1" defaultMemberUniqueName="[fact_sale_2020-2021].[Sale_Price].[All]" allUniqueName="[fact_sale_2020-2021].[Sale_Price].[All]" dimensionUniqueName="[fact_sale_2020-2021]" displayFolder="" count="0" memberValueDatatype="5" unbalanced="0"/>
    <cacheHierarchy uniqueName="[Measures].[Total Revenue]" caption="Total Revenue" measure="1" displayFolder="" measureGroup="fact_sale_2020-2021" count="0" oneField="1">
      <fieldsUsage count="1">
        <fieldUsage x="0"/>
      </fieldsUsage>
    </cacheHierarchy>
    <cacheHierarchy uniqueName="[Measures].[Total Cost]" caption="Total Cost" measure="1" displayFolder="" measureGroup="fact_sale_2020-2021" count="0"/>
    <cacheHierarchy uniqueName="[Measures].[Profit]" caption="Profit" measure="1" displayFolder="" measureGroup="fact_sale_2020-2021" count="0" oneField="1">
      <fieldsUsage count="1">
        <fieldUsage x="1"/>
      </fieldsUsage>
    </cacheHierarchy>
    <cacheHierarchy uniqueName="[Measures].[Profit Margin]" caption="Profit Margin" measure="1" displayFolder="" measureGroup="fact_sale_2020-2021" count="0" oneField="1">
      <fieldsUsage count="1">
        <fieldUsage x="2"/>
      </fieldsUsage>
    </cacheHierarchy>
    <cacheHierarchy uniqueName="[Measures].[Total Units Sold]" caption="Total Units Sold" measure="1" displayFolder="" measureGroup="fact_sale_2020-2021" count="0" oneField="1">
      <fieldsUsage count="1">
        <fieldUsage x="3"/>
      </fieldsUsage>
    </cacheHierarchy>
    <cacheHierarchy uniqueName="[Measures].[Total Customer]" caption="Total Customer" measure="1" displayFolder="" measureGroup="fact_sale_2020-2021" count="0" oneField="1">
      <fieldsUsage count="1">
        <fieldUsage x="4"/>
      </fieldsUsage>
    </cacheHierarchy>
    <cacheHierarchy uniqueName="[Measures].[Revenue LY]" caption="Revenue LY" measure="1" displayFolder="" measureGroup="fact_sale_2020-2021" count="0"/>
    <cacheHierarchy uniqueName="[Measures].[Revenue YoY%]" caption="Revenue YoY%" measure="1" displayFolder="" measureGroup="fact_sale_2020-2021" count="0"/>
    <cacheHierarchy uniqueName="[Measures].[Profit LY]" caption="Profit LY" measure="1" displayFolder="" measureGroup="fact_sale_2020-2021" count="0"/>
    <cacheHierarchy uniqueName="[Measures].[Profit YoY%]" caption="Profit YoY%" measure="1" displayFolder="" measureGroup="fact_sale_2020-2021" count="0"/>
    <cacheHierarchy uniqueName="[Measures].[Profit Margin LY]" caption="Profit Margin LY" measure="1" displayFolder="" measureGroup="fact_sale_2020-2021" count="0"/>
    <cacheHierarchy uniqueName="[Measures].[Profit Margin YoY (pp)]" caption="Profit Margin YoY (pp)" measure="1" displayFolder="" measureGroup="fact_sale_2020-2021" count="0"/>
    <cacheHierarchy uniqueName="[Measures].[Total Units Sold LY]" caption="Total Units Sold LY" measure="1" displayFolder="" measureGroup="fact_sale_2020-2021" count="0"/>
    <cacheHierarchy uniqueName="[Measures].[Units Sold YoY]" caption="Units Sold YoY" measure="1" displayFolder="" measureGroup="fact_sale_2020-2021" count="0"/>
    <cacheHierarchy uniqueName="[Measures].[Total Customer LY]" caption="Total Customer LY" measure="1" displayFolder="" measureGroup="fact_sale_2020-2021" count="0"/>
    <cacheHierarchy uniqueName="[Measures].[Customer YoY]" caption="Customer YoY" measure="1" displayFolder="" measureGroup="fact_sale_2020-2021" count="0"/>
    <cacheHierarchy uniqueName="[Measures].[__XL_Count fact_sale_2020-2021]" caption="__XL_Count fact_sale_2020-2021" measure="1" displayFolder="" measureGroup="fact_sale_2020-2021" count="0" hidden="1"/>
    <cacheHierarchy uniqueName="[Measures].[__XL_Count dim_customer]" caption="__XL_Count dim_customer" measure="1" displayFolder="" measureGroup="dim_customer" count="0" hidden="1"/>
    <cacheHierarchy uniqueName="[Measures].[__XL_Count dim_customer_segment]" caption="__XL_Count dim_customer_segment" measure="1" displayFolder="" measureGroup="dim_customer_segment" count="0" hidden="1"/>
    <cacheHierarchy uniqueName="[Measures].[__XL_Count dim_product]" caption="__XL_Count dim_product" measure="1" displayFolder="" measureGroup="dim_product" count="0" hidden="1"/>
    <cacheHierarchy uniqueName="[Measures].[__XL_Count dim_region]" caption="__XL_Count dim_region" measure="1" displayFolder="" measureGroup="dim_region" count="0" hidden="1"/>
    <cacheHierarchy uniqueName="[Measures].[__XL_Count Calendar]" caption="__XL_Count Calendar" measure="1" displayFolder="" measureGroup="dim_date" count="0" hidden="1"/>
    <cacheHierarchy uniqueName="[Measures].[__No measures defined]" caption="__No measures defined" measure="1" displayFolder="" count="0" hidden="1"/>
    <cacheHierarchy uniqueName="[Measures].[Sum of Discount_Rate]" caption="Sum of Discount_Rate" measure="1" displayFolder="" measureGroup="fact_sale_2020-2021" count="0" hidden="1">
      <extLst>
        <ext xmlns:x15="http://schemas.microsoft.com/office/spreadsheetml/2010/11/main" uri="{B97F6D7D-B522-45F9-BDA1-12C45D357490}">
          <x15:cacheHierarchy aggregatedColumn="25"/>
        </ext>
      </extLst>
    </cacheHierarchy>
  </cacheHierarchies>
  <kpis count="0"/>
  <dimensions count="7">
    <dimension name="dim_customer" uniqueName="[dim_customer]" caption="dim_customer"/>
    <dimension name="dim_customer_segment" uniqueName="[dim_customer_segment]" caption="dim_customer_segment"/>
    <dimension name="dim_date" uniqueName="[dim_date]" caption="dim_date"/>
    <dimension name="dim_product" uniqueName="[dim_product]" caption="dim_product"/>
    <dimension name="dim_region" uniqueName="[dim_region]" caption="dim_region"/>
    <dimension name="fact_sale_2020-2021" uniqueName="[fact_sale_2020-2021]" caption="fact_sale_2020-2021"/>
    <dimension measure="1" name="Measures" uniqueName="[Measures]" caption="Measures"/>
  </dimensions>
  <measureGroups count="6">
    <measureGroup name="dim_customer" caption="dim_customer"/>
    <measureGroup name="dim_customer_segment" caption="dim_customer_segment"/>
    <measureGroup name="dim_date" caption="dim_date"/>
    <measureGroup name="dim_product" caption="dim_product"/>
    <measureGroup name="dim_region" caption="dim_region"/>
    <measureGroup name="fact_sale_2020-2021" caption="fact_sale_2020-2021"/>
  </measureGroups>
  <maps count="11">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SI GAMING" refreshedDate="46077.814872453702" backgroundQuery="1" createdVersion="8" refreshedVersion="8" minRefreshableVersion="3" recordCount="0" supportSubquery="1" supportAdvancedDrill="1" xr:uid="{024AD592-9B13-4A9E-B3AF-35F689B39536}">
  <cacheSource type="external" connectionId="7"/>
  <cacheFields count="4">
    <cacheField name="[Measures].[Total Revenue]" caption="Total Revenue" numFmtId="0" hierarchy="28" level="32767"/>
    <cacheField name="[dim_customer_segment].[Customer_Segment_Name].[Customer_Segment_Name]" caption="Customer_Segment_Name" numFmtId="0" hierarchy="3" level="1">
      <sharedItems count="5">
        <s v="Channel Partners"/>
        <s v="Enterprise"/>
        <s v="Government"/>
        <s v="Midmarket"/>
        <s v="Small Business"/>
      </sharedItems>
    </cacheField>
    <cacheField name="[dim_region].[Country].[Country]" caption="Country" numFmtId="0" hierarchy="18" level="1">
      <sharedItems count="8">
        <s v="Canada"/>
        <s v="England"/>
        <s v="France"/>
        <s v="Germany"/>
        <s v="India"/>
        <s v="Italy"/>
        <s v="Japan"/>
        <s v="USA"/>
      </sharedItems>
    </cacheField>
    <cacheField name="[Measures].[Profit]" caption="Profit" numFmtId="0" hierarchy="30" level="32767"/>
  </cacheFields>
  <cacheHierarchies count="52">
    <cacheHierarchy uniqueName="[dim_customer].[Customer_ID]" caption="Customer_ID" attribute="1" defaultMemberUniqueName="[dim_customer].[Customer_ID].[All]" allUniqueName="[dim_customer].[Customer_ID].[All]" dimensionUniqueName="[dim_customer]" displayFolder="" count="0" memberValueDatatype="130" unbalanced="0"/>
    <cacheHierarchy uniqueName="[dim_customer].[Customer_Name]" caption="Customer_Name" attribute="1" defaultMemberUniqueName="[dim_customer].[Customer_Name].[All]" allUniqueName="[dim_customer].[Customer_Name].[All]" dimensionUniqueName="[dim_customer]" displayFolder="" count="0" memberValueDatatype="130" unbalanced="0"/>
    <cacheHierarchy uniqueName="[dim_customer_segment].[Customer_Segment_ID]" caption="Customer_Segment_ID" attribute="1" defaultMemberUniqueName="[dim_customer_segment].[Customer_Segment_ID].[All]" allUniqueName="[dim_customer_segment].[Customer_Segment_ID].[All]" dimensionUniqueName="[dim_customer_segment]" displayFolder="" count="0" memberValueDatatype="130" unbalanced="0"/>
    <cacheHierarchy uniqueName="[dim_customer_segment].[Customer_Segment_Name]" caption="Customer_Segment_Name" attribute="1" defaultMemberUniqueName="[dim_customer_segment].[Customer_Segment_Name].[All]" allUniqueName="[dim_customer_segment].[Customer_Segment_Name].[All]" dimensionUniqueName="[dim_customer_segment]" displayFolder="" count="2" memberValueDatatype="130" unbalanced="0">
      <fieldsUsage count="2">
        <fieldUsage x="-1"/>
        <fieldUsage x="1"/>
      </fieldsUsage>
    </cacheHierarchy>
    <cacheHierarchy uniqueName="[dim_date].[Date]" caption="Date" attribute="1" time="1" keyAttribute="1" defaultMemberUniqueName="[dim_date].[Date].[All]" allUniqueName="[dim_date].[Date].[All]" dimensionUniqueName="[dim_date]" displayFolder="" count="0" memberValueDatatype="7" unbalanced="0"/>
    <cacheHierarchy uniqueName="[dim_date].[Date Hierarchy]" caption="Date Hierarchy" time="1" defaultMemberUniqueName="[dim_date].[Date Hierarchy].[All]" allUniqueName="[dim_date].[Date Hierarchy].[All]" dimensionUniqueName="[dim_date]" displayFolder="" count="0" unbalanced="0"/>
    <cacheHierarchy uniqueName="[dim_date].[Year]" caption="Year" attribute="1" time="1" defaultMemberUniqueName="[dim_date].[Year].[All]" allUniqueName="[dim_date].[Year].[All]" dimensionUniqueName="[dim_date]" displayFolder="" count="0" memberValueDatatype="20" unbalanced="0"/>
    <cacheHierarchy uniqueName="[dim_date].[Month Number]" caption="Month Number" attribute="1" time="1" defaultMemberUniqueName="[dim_date].[Month Number].[All]" allUniqueName="[dim_date].[Month Number].[All]" dimensionUniqueName="[dim_date]" displayFolder="" count="2" memberValueDatatype="20" unbalanced="0"/>
    <cacheHierarchy uniqueName="[dim_date].[Month]" caption="Month" attribute="1" time="1" defaultMemberUniqueName="[dim_date].[Month].[All]" allUniqueName="[dim_date].[Month].[All]" dimensionUniqueName="[dim_date]" displayFolder="" count="0" memberValueDatatype="130" unbalanced="0"/>
    <cacheHierarchy uniqueName="[dim_date].[MMM-YYYY]" caption="MMM-YYYY" attribute="1" time="1" defaultMemberUniqueName="[dim_date].[MMM-YYYY].[All]" allUniqueName="[dim_date].[MMM-YYYY].[All]" dimensionUniqueName="[dim_date]" displayFolder="" count="0" memberValueDatatype="130" unbalanced="0"/>
    <cacheHierarchy uniqueName="[dim_date].[Day Of Week Number]" caption="Day Of Week Number" attribute="1" time="1" defaultMemberUniqueName="[dim_date].[Day Of Week Number].[All]" allUniqueName="[dim_date].[Day Of Week Number].[All]" dimensionUniqueName="[dim_date]" displayFolder="" count="0" memberValueDatatype="20" unbalanced="0"/>
    <cacheHierarchy uniqueName="[dim_date].[Day Of Week]" caption="Day Of Week" attribute="1" time="1" defaultMemberUniqueName="[dim_date].[Day Of Week].[All]" allUniqueName="[dim_date].[Day Of Week].[All]" dimensionUniqueName="[dim_date]" displayFolder="" count="0" memberValueDatatype="130" unbalanced="0"/>
    <cacheHierarchy uniqueName="[dim_date].[Year Month]" caption="Year Month" attribute="1" time="1" defaultMemberUniqueName="[dim_date].[Year Month].[All]" allUniqueName="[dim_date].[Year Month].[All]" dimensionUniqueName="[dim_date]" displayFolder="" count="0" memberValueDatatype="130" unbalanced="0"/>
    <cacheHierarchy uniqueName="[dim_date].[Quarter]" caption="Quarter" attribute="1" time="1" defaultMemberUniqueName="[dim_date].[Quarter].[All]" allUniqueName="[dim_date].[Quarter].[All]" dimensionUniqueName="[dim_date]" displayFolder="" count="0" memberValueDatatype="130" unbalanced="0"/>
    <cacheHierarchy uniqueName="[dim_product].[Product_ID]" caption="Product_ID" attribute="1" defaultMemberUniqueName="[dim_product].[Product_ID].[All]" allUniqueName="[dim_product].[Product_ID].[All]" dimensionUniqueName="[dim_product]" displayFolder="" count="0" memberValueDatatype="130" unbalanced="0"/>
    <cacheHierarchy uniqueName="[dim_product].[Product_Name]" caption="Product_Name" attribute="1" defaultMemberUniqueName="[dim_product].[Product_Name].[All]" allUniqueName="[dim_product].[Product_Name].[All]" dimensionUniqueName="[dim_product]" displayFolder="" count="0" memberValueDatatype="130" unbalanced="0"/>
    <cacheHierarchy uniqueName="[dim_product].[Manufacturing_Price]" caption="Manufacturing_Price" attribute="1" defaultMemberUniqueName="[dim_product].[Manufacturing_Price].[All]" allUniqueName="[dim_product].[Manufacturing_Price].[All]" dimensionUniqueName="[dim_product]" displayFolder="" count="0" memberValueDatatype="5" unbalanced="0"/>
    <cacheHierarchy uniqueName="[dim_region].[Region_ID]" caption="Region_ID" attribute="1" defaultMemberUniqueName="[dim_region].[Region_ID].[All]" allUniqueName="[dim_region].[Region_ID].[All]" dimensionUniqueName="[dim_region]" displayFolder="" count="0" memberValueDatatype="130" unbalanced="0"/>
    <cacheHierarchy uniqueName="[dim_region].[Country]" caption="Country" attribute="1" defaultMemberUniqueName="[dim_region].[Country].[All]" allUniqueName="[dim_region].[Country].[All]" dimensionUniqueName="[dim_region]" displayFolder="" count="2" memberValueDatatype="130" unbalanced="0">
      <fieldsUsage count="2">
        <fieldUsage x="-1"/>
        <fieldUsage x="2"/>
      </fieldsUsage>
    </cacheHierarchy>
    <cacheHierarchy uniqueName="[dim_region].[Continent]" caption="Continent" attribute="1" defaultMemberUniqueName="[dim_region].[Continent].[All]" allUniqueName="[dim_region].[Continent].[All]" dimensionUniqueName="[dim_region]" displayFolder="" count="0" memberValueDatatype="130" unbalanced="0"/>
    <cacheHierarchy uniqueName="[fact_sale_2020-2021].[Order_Date]" caption="Order_Date" attribute="1" time="1" defaultMemberUniqueName="[fact_sale_2020-2021].[Order_Date].[All]" allUniqueName="[fact_sale_2020-2021].[Order_Date].[All]" dimensionUniqueName="[fact_sale_2020-2021]" displayFolder="" count="0" memberValueDatatype="7" unbalanced="0"/>
    <cacheHierarchy uniqueName="[fact_sale_2020-2021].[Product_ID]" caption="Product_ID" attribute="1" defaultMemberUniqueName="[fact_sale_2020-2021].[Product_ID].[All]" allUniqueName="[fact_sale_2020-2021].[Product_ID].[All]" dimensionUniqueName="[fact_sale_2020-2021]" displayFolder="" count="0" memberValueDatatype="130" unbalanced="0"/>
    <cacheHierarchy uniqueName="[fact_sale_2020-2021].[Customer_ID]" caption="Customer_ID" attribute="1" defaultMemberUniqueName="[fact_sale_2020-2021].[Customer_ID].[All]" allUniqueName="[fact_sale_2020-2021].[Customer_ID].[All]" dimensionUniqueName="[fact_sale_2020-2021]" displayFolder="" count="0" memberValueDatatype="130" unbalanced="0"/>
    <cacheHierarchy uniqueName="[fact_sale_2020-2021].[Customer_Segment_ID]" caption="Customer_Segment_ID" attribute="1" defaultMemberUniqueName="[fact_sale_2020-2021].[Customer_Segment_ID].[All]" allUniqueName="[fact_sale_2020-2021].[Customer_Segment_ID].[All]" dimensionUniqueName="[fact_sale_2020-2021]" displayFolder="" count="0" memberValueDatatype="130" unbalanced="0"/>
    <cacheHierarchy uniqueName="[fact_sale_2020-2021].[Region_ID]" caption="Region_ID" attribute="1" defaultMemberUniqueName="[fact_sale_2020-2021].[Region_ID].[All]" allUniqueName="[fact_sale_2020-2021].[Region_ID].[All]" dimensionUniqueName="[fact_sale_2020-2021]" displayFolder="" count="0" memberValueDatatype="130" unbalanced="0"/>
    <cacheHierarchy uniqueName="[fact_sale_2020-2021].[Discount_Rate]" caption="Discount_Rate" attribute="1" defaultMemberUniqueName="[fact_sale_2020-2021].[Discount_Rate].[All]" allUniqueName="[fact_sale_2020-2021].[Discount_Rate].[All]" dimensionUniqueName="[fact_sale_2020-2021]" displayFolder="" count="0" memberValueDatatype="5" unbalanced="0"/>
    <cacheHierarchy uniqueName="[fact_sale_2020-2021].[Units_Sold]" caption="Units_Sold" attribute="1" defaultMemberUniqueName="[fact_sale_2020-2021].[Units_Sold].[All]" allUniqueName="[fact_sale_2020-2021].[Units_Sold].[All]" dimensionUniqueName="[fact_sale_2020-2021]" displayFolder="" count="0" memberValueDatatype="20" unbalanced="0"/>
    <cacheHierarchy uniqueName="[fact_sale_2020-2021].[Sale_Price]" caption="Sale_Price" attribute="1" defaultMemberUniqueName="[fact_sale_2020-2021].[Sale_Price].[All]" allUniqueName="[fact_sale_2020-2021].[Sale_Price].[All]" dimensionUniqueName="[fact_sale_2020-2021]" displayFolder="" count="0" memberValueDatatype="5" unbalanced="0"/>
    <cacheHierarchy uniqueName="[Measures].[Total Revenue]" caption="Total Revenue" measure="1" displayFolder="" measureGroup="fact_sale_2020-2021" count="0" oneField="1">
      <fieldsUsage count="1">
        <fieldUsage x="0"/>
      </fieldsUsage>
    </cacheHierarchy>
    <cacheHierarchy uniqueName="[Measures].[Total Cost]" caption="Total Cost" measure="1" displayFolder="" measureGroup="fact_sale_2020-2021" count="0"/>
    <cacheHierarchy uniqueName="[Measures].[Profit]" caption="Profit" measure="1" displayFolder="" measureGroup="fact_sale_2020-2021" count="0" oneField="1">
      <fieldsUsage count="1">
        <fieldUsage x="3"/>
      </fieldsUsage>
    </cacheHierarchy>
    <cacheHierarchy uniqueName="[Measures].[Profit Margin]" caption="Profit Margin" measure="1" displayFolder="" measureGroup="fact_sale_2020-2021" count="0"/>
    <cacheHierarchy uniqueName="[Measures].[Total Units Sold]" caption="Total Units Sold" measure="1" displayFolder="" measureGroup="fact_sale_2020-2021" count="0"/>
    <cacheHierarchy uniqueName="[Measures].[Total Customer]" caption="Total Customer" measure="1" displayFolder="" measureGroup="fact_sale_2020-2021" count="0"/>
    <cacheHierarchy uniqueName="[Measures].[Revenue LY]" caption="Revenue LY" measure="1" displayFolder="" measureGroup="fact_sale_2020-2021" count="0"/>
    <cacheHierarchy uniqueName="[Measures].[Revenue YoY%]" caption="Revenue YoY%" measure="1" displayFolder="" measureGroup="fact_sale_2020-2021" count="0"/>
    <cacheHierarchy uniqueName="[Measures].[Profit LY]" caption="Profit LY" measure="1" displayFolder="" measureGroup="fact_sale_2020-2021" count="0"/>
    <cacheHierarchy uniqueName="[Measures].[Profit YoY%]" caption="Profit YoY%" measure="1" displayFolder="" measureGroup="fact_sale_2020-2021" count="0"/>
    <cacheHierarchy uniqueName="[Measures].[Profit Margin LY]" caption="Profit Margin LY" measure="1" displayFolder="" measureGroup="fact_sale_2020-2021" count="0"/>
    <cacheHierarchy uniqueName="[Measures].[Profit Margin YoY (pp)]" caption="Profit Margin YoY (pp)" measure="1" displayFolder="" measureGroup="fact_sale_2020-2021" count="0"/>
    <cacheHierarchy uniqueName="[Measures].[Total Units Sold LY]" caption="Total Units Sold LY" measure="1" displayFolder="" measureGroup="fact_sale_2020-2021" count="0"/>
    <cacheHierarchy uniqueName="[Measures].[Units Sold YoY]" caption="Units Sold YoY" measure="1" displayFolder="" measureGroup="fact_sale_2020-2021" count="0"/>
    <cacheHierarchy uniqueName="[Measures].[Total Customer LY]" caption="Total Customer LY" measure="1" displayFolder="" measureGroup="fact_sale_2020-2021" count="0"/>
    <cacheHierarchy uniqueName="[Measures].[Customer YoY]" caption="Customer YoY" measure="1" displayFolder="" measureGroup="fact_sale_2020-2021" count="0"/>
    <cacheHierarchy uniqueName="[Measures].[__XL_Count fact_sale_2020-2021]" caption="__XL_Count fact_sale_2020-2021" measure="1" displayFolder="" measureGroup="fact_sale_2020-2021" count="0" hidden="1"/>
    <cacheHierarchy uniqueName="[Measures].[__XL_Count dim_customer]" caption="__XL_Count dim_customer" measure="1" displayFolder="" measureGroup="dim_customer" count="0" hidden="1"/>
    <cacheHierarchy uniqueName="[Measures].[__XL_Count dim_customer_segment]" caption="__XL_Count dim_customer_segment" measure="1" displayFolder="" measureGroup="dim_customer_segment" count="0" hidden="1"/>
    <cacheHierarchy uniqueName="[Measures].[__XL_Count dim_product]" caption="__XL_Count dim_product" measure="1" displayFolder="" measureGroup="dim_product" count="0" hidden="1"/>
    <cacheHierarchy uniqueName="[Measures].[__XL_Count dim_region]" caption="__XL_Count dim_region" measure="1" displayFolder="" measureGroup="dim_region" count="0" hidden="1"/>
    <cacheHierarchy uniqueName="[Measures].[__XL_Count Calendar]" caption="__XL_Count Calendar" measure="1" displayFolder="" measureGroup="dim_date" count="0" hidden="1"/>
    <cacheHierarchy uniqueName="[Measures].[__No measures defined]" caption="__No measures defined" measure="1" displayFolder="" count="0" hidden="1"/>
    <cacheHierarchy uniqueName="[Measures].[Sum of Discount_Rate]" caption="Sum of Discount_Rate" measure="1" displayFolder="" measureGroup="fact_sale_2020-2021" count="0" hidden="1">
      <extLst>
        <ext xmlns:x15="http://schemas.microsoft.com/office/spreadsheetml/2010/11/main" uri="{B97F6D7D-B522-45F9-BDA1-12C45D357490}">
          <x15:cacheHierarchy aggregatedColumn="25"/>
        </ext>
      </extLst>
    </cacheHierarchy>
  </cacheHierarchies>
  <kpis count="0"/>
  <dimensions count="7">
    <dimension name="dim_customer" uniqueName="[dim_customer]" caption="dim_customer"/>
    <dimension name="dim_customer_segment" uniqueName="[dim_customer_segment]" caption="dim_customer_segment"/>
    <dimension name="dim_date" uniqueName="[dim_date]" caption="dim_date"/>
    <dimension name="dim_product" uniqueName="[dim_product]" caption="dim_product"/>
    <dimension name="dim_region" uniqueName="[dim_region]" caption="dim_region"/>
    <dimension name="fact_sale_2020-2021" uniqueName="[fact_sale_2020-2021]" caption="fact_sale_2020-2021"/>
    <dimension measure="1" name="Measures" uniqueName="[Measures]" caption="Measures"/>
  </dimensions>
  <measureGroups count="6">
    <measureGroup name="dim_customer" caption="dim_customer"/>
    <measureGroup name="dim_customer_segment" caption="dim_customer_segment"/>
    <measureGroup name="dim_date" caption="dim_date"/>
    <measureGroup name="dim_product" caption="dim_product"/>
    <measureGroup name="dim_region" caption="dim_region"/>
    <measureGroup name="fact_sale_2020-2021" caption="fact_sale_2020-2021"/>
  </measureGroups>
  <maps count="11">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SI GAMING" refreshedDate="46077.81487303241" backgroundQuery="1" createdVersion="8" refreshedVersion="8" minRefreshableVersion="3" recordCount="0" supportSubquery="1" supportAdvancedDrill="1" xr:uid="{2AAB72D9-53C2-43D5-991A-92CAAC3D3266}">
  <cacheSource type="external" connectionId="7"/>
  <cacheFields count="2">
    <cacheField name="[Measures].[Total Revenue]" caption="Total Revenue" numFmtId="0" hierarchy="28" level="32767"/>
    <cacheField name="[dim_customer_segment].[Customer_Segment_Name].[Customer_Segment_Name]" caption="Customer_Segment_Name" numFmtId="0" hierarchy="3" level="1">
      <sharedItems count="5">
        <s v="Channel Partners"/>
        <s v="Enterprise"/>
        <s v="Government"/>
        <s v="Midmarket"/>
        <s v="Small Business"/>
      </sharedItems>
    </cacheField>
  </cacheFields>
  <cacheHierarchies count="52">
    <cacheHierarchy uniqueName="[dim_customer].[Customer_ID]" caption="Customer_ID" attribute="1" defaultMemberUniqueName="[dim_customer].[Customer_ID].[All]" allUniqueName="[dim_customer].[Customer_ID].[All]" dimensionUniqueName="[dim_customer]" displayFolder="" count="0" memberValueDatatype="130" unbalanced="0"/>
    <cacheHierarchy uniqueName="[dim_customer].[Customer_Name]" caption="Customer_Name" attribute="1" defaultMemberUniqueName="[dim_customer].[Customer_Name].[All]" allUniqueName="[dim_customer].[Customer_Name].[All]" dimensionUniqueName="[dim_customer]" displayFolder="" count="0" memberValueDatatype="130" unbalanced="0"/>
    <cacheHierarchy uniqueName="[dim_customer_segment].[Customer_Segment_ID]" caption="Customer_Segment_ID" attribute="1" defaultMemberUniqueName="[dim_customer_segment].[Customer_Segment_ID].[All]" allUniqueName="[dim_customer_segment].[Customer_Segment_ID].[All]" dimensionUniqueName="[dim_customer_segment]" displayFolder="" count="0" memberValueDatatype="130" unbalanced="0"/>
    <cacheHierarchy uniqueName="[dim_customer_segment].[Customer_Segment_Name]" caption="Customer_Segment_Name" attribute="1" defaultMemberUniqueName="[dim_customer_segment].[Customer_Segment_Name].[All]" allUniqueName="[dim_customer_segment].[Customer_Segment_Name].[All]" dimensionUniqueName="[dim_customer_segment]" displayFolder="" count="2" memberValueDatatype="130" unbalanced="0">
      <fieldsUsage count="2">
        <fieldUsage x="-1"/>
        <fieldUsage x="1"/>
      </fieldsUsage>
    </cacheHierarchy>
    <cacheHierarchy uniqueName="[dim_date].[Date]" caption="Date" attribute="1" time="1" keyAttribute="1" defaultMemberUniqueName="[dim_date].[Date].[All]" allUniqueName="[dim_date].[Date].[All]" dimensionUniqueName="[dim_date]" displayFolder="" count="0" memberValueDatatype="7" unbalanced="0"/>
    <cacheHierarchy uniqueName="[dim_date].[Date Hierarchy]" caption="Date Hierarchy" time="1" defaultMemberUniqueName="[dim_date].[Date Hierarchy].[All]" allUniqueName="[dim_date].[Date Hierarchy].[All]" dimensionUniqueName="[dim_date]" displayFolder="" count="0" unbalanced="0"/>
    <cacheHierarchy uniqueName="[dim_date].[Year]" caption="Year" attribute="1" time="1" defaultMemberUniqueName="[dim_date].[Year].[All]" allUniqueName="[dim_date].[Year].[All]" dimensionUniqueName="[dim_date]" displayFolder="" count="0" memberValueDatatype="20" unbalanced="0"/>
    <cacheHierarchy uniqueName="[dim_date].[Month Number]" caption="Month Number" attribute="1" time="1" defaultMemberUniqueName="[dim_date].[Month Number].[All]" allUniqueName="[dim_date].[Month Number].[All]" dimensionUniqueName="[dim_date]" displayFolder="" count="2" memberValueDatatype="20" unbalanced="0"/>
    <cacheHierarchy uniqueName="[dim_date].[Month]" caption="Month" attribute="1" time="1" defaultMemberUniqueName="[dim_date].[Month].[All]" allUniqueName="[dim_date].[Month].[All]" dimensionUniqueName="[dim_date]" displayFolder="" count="0" memberValueDatatype="130" unbalanced="0"/>
    <cacheHierarchy uniqueName="[dim_date].[MMM-YYYY]" caption="MMM-YYYY" attribute="1" time="1" defaultMemberUniqueName="[dim_date].[MMM-YYYY].[All]" allUniqueName="[dim_date].[MMM-YYYY].[All]" dimensionUniqueName="[dim_date]" displayFolder="" count="0" memberValueDatatype="130" unbalanced="0"/>
    <cacheHierarchy uniqueName="[dim_date].[Day Of Week Number]" caption="Day Of Week Number" attribute="1" time="1" defaultMemberUniqueName="[dim_date].[Day Of Week Number].[All]" allUniqueName="[dim_date].[Day Of Week Number].[All]" dimensionUniqueName="[dim_date]" displayFolder="" count="0" memberValueDatatype="20" unbalanced="0"/>
    <cacheHierarchy uniqueName="[dim_date].[Day Of Week]" caption="Day Of Week" attribute="1" time="1" defaultMemberUniqueName="[dim_date].[Day Of Week].[All]" allUniqueName="[dim_date].[Day Of Week].[All]" dimensionUniqueName="[dim_date]" displayFolder="" count="0" memberValueDatatype="130" unbalanced="0"/>
    <cacheHierarchy uniqueName="[dim_date].[Year Month]" caption="Year Month" attribute="1" time="1" defaultMemberUniqueName="[dim_date].[Year Month].[All]" allUniqueName="[dim_date].[Year Month].[All]" dimensionUniqueName="[dim_date]" displayFolder="" count="0" memberValueDatatype="130" unbalanced="0"/>
    <cacheHierarchy uniqueName="[dim_date].[Quarter]" caption="Quarter" attribute="1" time="1" defaultMemberUniqueName="[dim_date].[Quarter].[All]" allUniqueName="[dim_date].[Quarter].[All]" dimensionUniqueName="[dim_date]" displayFolder="" count="0" memberValueDatatype="130" unbalanced="0"/>
    <cacheHierarchy uniqueName="[dim_product].[Product_ID]" caption="Product_ID" attribute="1" defaultMemberUniqueName="[dim_product].[Product_ID].[All]" allUniqueName="[dim_product].[Product_ID].[All]" dimensionUniqueName="[dim_product]" displayFolder="" count="0" memberValueDatatype="130" unbalanced="0"/>
    <cacheHierarchy uniqueName="[dim_product].[Product_Name]" caption="Product_Name" attribute="1" defaultMemberUniqueName="[dim_product].[Product_Name].[All]" allUniqueName="[dim_product].[Product_Name].[All]" dimensionUniqueName="[dim_product]" displayFolder="" count="0" memberValueDatatype="130" unbalanced="0"/>
    <cacheHierarchy uniqueName="[dim_product].[Manufacturing_Price]" caption="Manufacturing_Price" attribute="1" defaultMemberUniqueName="[dim_product].[Manufacturing_Price].[All]" allUniqueName="[dim_product].[Manufacturing_Price].[All]" dimensionUniqueName="[dim_product]" displayFolder="" count="0" memberValueDatatype="5" unbalanced="0"/>
    <cacheHierarchy uniqueName="[dim_region].[Region_ID]" caption="Region_ID" attribute="1" defaultMemberUniqueName="[dim_region].[Region_ID].[All]" allUniqueName="[dim_region].[Region_ID].[All]" dimensionUniqueName="[dim_region]" displayFolder="" count="0" memberValueDatatype="130" unbalanced="0"/>
    <cacheHierarchy uniqueName="[dim_region].[Country]" caption="Country" attribute="1" defaultMemberUniqueName="[dim_region].[Country].[All]" allUniqueName="[dim_region].[Country].[All]" dimensionUniqueName="[dim_region]" displayFolder="" count="2" memberValueDatatype="130" unbalanced="0"/>
    <cacheHierarchy uniqueName="[dim_region].[Continent]" caption="Continent" attribute="1" defaultMemberUniqueName="[dim_region].[Continent].[All]" allUniqueName="[dim_region].[Continent].[All]" dimensionUniqueName="[dim_region]" displayFolder="" count="0" memberValueDatatype="130" unbalanced="0"/>
    <cacheHierarchy uniqueName="[fact_sale_2020-2021].[Order_Date]" caption="Order_Date" attribute="1" time="1" defaultMemberUniqueName="[fact_sale_2020-2021].[Order_Date].[All]" allUniqueName="[fact_sale_2020-2021].[Order_Date].[All]" dimensionUniqueName="[fact_sale_2020-2021]" displayFolder="" count="0" memberValueDatatype="7" unbalanced="0"/>
    <cacheHierarchy uniqueName="[fact_sale_2020-2021].[Product_ID]" caption="Product_ID" attribute="1" defaultMemberUniqueName="[fact_sale_2020-2021].[Product_ID].[All]" allUniqueName="[fact_sale_2020-2021].[Product_ID].[All]" dimensionUniqueName="[fact_sale_2020-2021]" displayFolder="" count="0" memberValueDatatype="130" unbalanced="0"/>
    <cacheHierarchy uniqueName="[fact_sale_2020-2021].[Customer_ID]" caption="Customer_ID" attribute="1" defaultMemberUniqueName="[fact_sale_2020-2021].[Customer_ID].[All]" allUniqueName="[fact_sale_2020-2021].[Customer_ID].[All]" dimensionUniqueName="[fact_sale_2020-2021]" displayFolder="" count="0" memberValueDatatype="130" unbalanced="0"/>
    <cacheHierarchy uniqueName="[fact_sale_2020-2021].[Customer_Segment_ID]" caption="Customer_Segment_ID" attribute="1" defaultMemberUniqueName="[fact_sale_2020-2021].[Customer_Segment_ID].[All]" allUniqueName="[fact_sale_2020-2021].[Customer_Segment_ID].[All]" dimensionUniqueName="[fact_sale_2020-2021]" displayFolder="" count="0" memberValueDatatype="130" unbalanced="0"/>
    <cacheHierarchy uniqueName="[fact_sale_2020-2021].[Region_ID]" caption="Region_ID" attribute="1" defaultMemberUniqueName="[fact_sale_2020-2021].[Region_ID].[All]" allUniqueName="[fact_sale_2020-2021].[Region_ID].[All]" dimensionUniqueName="[fact_sale_2020-2021]" displayFolder="" count="0" memberValueDatatype="130" unbalanced="0"/>
    <cacheHierarchy uniqueName="[fact_sale_2020-2021].[Discount_Rate]" caption="Discount_Rate" attribute="1" defaultMemberUniqueName="[fact_sale_2020-2021].[Discount_Rate].[All]" allUniqueName="[fact_sale_2020-2021].[Discount_Rate].[All]" dimensionUniqueName="[fact_sale_2020-2021]" displayFolder="" count="0" memberValueDatatype="5" unbalanced="0"/>
    <cacheHierarchy uniqueName="[fact_sale_2020-2021].[Units_Sold]" caption="Units_Sold" attribute="1" defaultMemberUniqueName="[fact_sale_2020-2021].[Units_Sold].[All]" allUniqueName="[fact_sale_2020-2021].[Units_Sold].[All]" dimensionUniqueName="[fact_sale_2020-2021]" displayFolder="" count="0" memberValueDatatype="20" unbalanced="0"/>
    <cacheHierarchy uniqueName="[fact_sale_2020-2021].[Sale_Price]" caption="Sale_Price" attribute="1" defaultMemberUniqueName="[fact_sale_2020-2021].[Sale_Price].[All]" allUniqueName="[fact_sale_2020-2021].[Sale_Price].[All]" dimensionUniqueName="[fact_sale_2020-2021]" displayFolder="" count="0" memberValueDatatype="5" unbalanced="0"/>
    <cacheHierarchy uniqueName="[Measures].[Total Revenue]" caption="Total Revenue" measure="1" displayFolder="" measureGroup="fact_sale_2020-2021" count="0" oneField="1">
      <fieldsUsage count="1">
        <fieldUsage x="0"/>
      </fieldsUsage>
    </cacheHierarchy>
    <cacheHierarchy uniqueName="[Measures].[Total Cost]" caption="Total Cost" measure="1" displayFolder="" measureGroup="fact_sale_2020-2021" count="0"/>
    <cacheHierarchy uniqueName="[Measures].[Profit]" caption="Profit" measure="1" displayFolder="" measureGroup="fact_sale_2020-2021" count="0"/>
    <cacheHierarchy uniqueName="[Measures].[Profit Margin]" caption="Profit Margin" measure="1" displayFolder="" measureGroup="fact_sale_2020-2021" count="0"/>
    <cacheHierarchy uniqueName="[Measures].[Total Units Sold]" caption="Total Units Sold" measure="1" displayFolder="" measureGroup="fact_sale_2020-2021" count="0"/>
    <cacheHierarchy uniqueName="[Measures].[Total Customer]" caption="Total Customer" measure="1" displayFolder="" measureGroup="fact_sale_2020-2021" count="0"/>
    <cacheHierarchy uniqueName="[Measures].[Revenue LY]" caption="Revenue LY" measure="1" displayFolder="" measureGroup="fact_sale_2020-2021" count="0"/>
    <cacheHierarchy uniqueName="[Measures].[Revenue YoY%]" caption="Revenue YoY%" measure="1" displayFolder="" measureGroup="fact_sale_2020-2021" count="0"/>
    <cacheHierarchy uniqueName="[Measures].[Profit LY]" caption="Profit LY" measure="1" displayFolder="" measureGroup="fact_sale_2020-2021" count="0"/>
    <cacheHierarchy uniqueName="[Measures].[Profit YoY%]" caption="Profit YoY%" measure="1" displayFolder="" measureGroup="fact_sale_2020-2021" count="0"/>
    <cacheHierarchy uniqueName="[Measures].[Profit Margin LY]" caption="Profit Margin LY" measure="1" displayFolder="" measureGroup="fact_sale_2020-2021" count="0"/>
    <cacheHierarchy uniqueName="[Measures].[Profit Margin YoY (pp)]" caption="Profit Margin YoY (pp)" measure="1" displayFolder="" measureGroup="fact_sale_2020-2021" count="0"/>
    <cacheHierarchy uniqueName="[Measures].[Total Units Sold LY]" caption="Total Units Sold LY" measure="1" displayFolder="" measureGroup="fact_sale_2020-2021" count="0"/>
    <cacheHierarchy uniqueName="[Measures].[Units Sold YoY]" caption="Units Sold YoY" measure="1" displayFolder="" measureGroup="fact_sale_2020-2021" count="0"/>
    <cacheHierarchy uniqueName="[Measures].[Total Customer LY]" caption="Total Customer LY" measure="1" displayFolder="" measureGroup="fact_sale_2020-2021" count="0"/>
    <cacheHierarchy uniqueName="[Measures].[Customer YoY]" caption="Customer YoY" measure="1" displayFolder="" measureGroup="fact_sale_2020-2021" count="0"/>
    <cacheHierarchy uniqueName="[Measures].[__XL_Count fact_sale_2020-2021]" caption="__XL_Count fact_sale_2020-2021" measure="1" displayFolder="" measureGroup="fact_sale_2020-2021" count="0" hidden="1"/>
    <cacheHierarchy uniqueName="[Measures].[__XL_Count dim_customer]" caption="__XL_Count dim_customer" measure="1" displayFolder="" measureGroup="dim_customer" count="0" hidden="1"/>
    <cacheHierarchy uniqueName="[Measures].[__XL_Count dim_customer_segment]" caption="__XL_Count dim_customer_segment" measure="1" displayFolder="" measureGroup="dim_customer_segment" count="0" hidden="1"/>
    <cacheHierarchy uniqueName="[Measures].[__XL_Count dim_product]" caption="__XL_Count dim_product" measure="1" displayFolder="" measureGroup="dim_product" count="0" hidden="1"/>
    <cacheHierarchy uniqueName="[Measures].[__XL_Count dim_region]" caption="__XL_Count dim_region" measure="1" displayFolder="" measureGroup="dim_region" count="0" hidden="1"/>
    <cacheHierarchy uniqueName="[Measures].[__XL_Count Calendar]" caption="__XL_Count Calendar" measure="1" displayFolder="" measureGroup="dim_date" count="0" hidden="1"/>
    <cacheHierarchy uniqueName="[Measures].[__No measures defined]" caption="__No measures defined" measure="1" displayFolder="" count="0" hidden="1"/>
    <cacheHierarchy uniqueName="[Measures].[Sum of Discount_Rate]" caption="Sum of Discount_Rate" measure="1" displayFolder="" measureGroup="fact_sale_2020-2021" count="0" hidden="1">
      <extLst>
        <ext xmlns:x15="http://schemas.microsoft.com/office/spreadsheetml/2010/11/main" uri="{B97F6D7D-B522-45F9-BDA1-12C45D357490}">
          <x15:cacheHierarchy aggregatedColumn="25"/>
        </ext>
      </extLst>
    </cacheHierarchy>
  </cacheHierarchies>
  <kpis count="0"/>
  <dimensions count="7">
    <dimension name="dim_customer" uniqueName="[dim_customer]" caption="dim_customer"/>
    <dimension name="dim_customer_segment" uniqueName="[dim_customer_segment]" caption="dim_customer_segment"/>
    <dimension name="dim_date" uniqueName="[dim_date]" caption="dim_date"/>
    <dimension name="dim_product" uniqueName="[dim_product]" caption="dim_product"/>
    <dimension name="dim_region" uniqueName="[dim_region]" caption="dim_region"/>
    <dimension name="fact_sale_2020-2021" uniqueName="[fact_sale_2020-2021]" caption="fact_sale_2020-2021"/>
    <dimension measure="1" name="Measures" uniqueName="[Measures]" caption="Measures"/>
  </dimensions>
  <measureGroups count="6">
    <measureGroup name="dim_customer" caption="dim_customer"/>
    <measureGroup name="dim_customer_segment" caption="dim_customer_segment"/>
    <measureGroup name="dim_date" caption="dim_date"/>
    <measureGroup name="dim_product" caption="dim_product"/>
    <measureGroup name="dim_region" caption="dim_region"/>
    <measureGroup name="fact_sale_2020-2021" caption="fact_sale_2020-2021"/>
  </measureGroups>
  <maps count="11">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SI GAMING" refreshedDate="46077.814873495372" backgroundQuery="1" createdVersion="8" refreshedVersion="8" minRefreshableVersion="3" recordCount="0" supportSubquery="1" supportAdvancedDrill="1" xr:uid="{AE50EB76-04AA-41A3-9BD0-99BABEC42271}">
  <cacheSource type="external" connectionId="7"/>
  <cacheFields count="6">
    <cacheField name="[Measures].[Total Revenue]" caption="Total Revenue" numFmtId="0" hierarchy="28" level="32767"/>
    <cacheField name="[dim_customer_segment].[Customer_Segment_Name].[Customer_Segment_Name]" caption="Customer_Segment_Name" numFmtId="0" hierarchy="3" level="1">
      <sharedItems count="5">
        <s v="Channel Partners"/>
        <s v="Enterprise"/>
        <s v="Government"/>
        <s v="Midmarket"/>
        <s v="Small Business"/>
      </sharedItems>
    </cacheField>
    <cacheField name="[dim_region].[Country].[Country]" caption="Country" numFmtId="0" hierarchy="18" level="1">
      <sharedItems count="8">
        <s v="Canada"/>
        <s v="England"/>
        <s v="France"/>
        <s v="Germany"/>
        <s v="India"/>
        <s v="Italy"/>
        <s v="Japan"/>
        <s v="USA"/>
      </sharedItems>
    </cacheField>
    <cacheField name="[Measures].[Profit]" caption="Profit" numFmtId="0" hierarchy="30" level="32767"/>
    <cacheField name="[dim_product].[Product_Name].[Product_Name]" caption="Product_Name" numFmtId="0" hierarchy="15" level="1">
      <sharedItems count="6">
        <s v="City Cruiser"/>
        <s v="Road Racer"/>
        <s v="Speedster"/>
        <s v="Trail Master"/>
        <s v="X-Terrain"/>
        <s v="Yellow Edition"/>
      </sharedItems>
    </cacheField>
    <cacheField name="[Measures].[Total Cost]" caption="Total Cost" numFmtId="0" hierarchy="29" level="32767"/>
  </cacheFields>
  <cacheHierarchies count="52">
    <cacheHierarchy uniqueName="[dim_customer].[Customer_ID]" caption="Customer_ID" attribute="1" defaultMemberUniqueName="[dim_customer].[Customer_ID].[All]" allUniqueName="[dim_customer].[Customer_ID].[All]" dimensionUniqueName="[dim_customer]" displayFolder="" count="0" memberValueDatatype="130" unbalanced="0"/>
    <cacheHierarchy uniqueName="[dim_customer].[Customer_Name]" caption="Customer_Name" attribute="1" defaultMemberUniqueName="[dim_customer].[Customer_Name].[All]" allUniqueName="[dim_customer].[Customer_Name].[All]" dimensionUniqueName="[dim_customer]" displayFolder="" count="0" memberValueDatatype="130" unbalanced="0"/>
    <cacheHierarchy uniqueName="[dim_customer_segment].[Customer_Segment_ID]" caption="Customer_Segment_ID" attribute="1" defaultMemberUniqueName="[dim_customer_segment].[Customer_Segment_ID].[All]" allUniqueName="[dim_customer_segment].[Customer_Segment_ID].[All]" dimensionUniqueName="[dim_customer_segment]" displayFolder="" count="0" memberValueDatatype="130" unbalanced="0"/>
    <cacheHierarchy uniqueName="[dim_customer_segment].[Customer_Segment_Name]" caption="Customer_Segment_Name" attribute="1" defaultMemberUniqueName="[dim_customer_segment].[Customer_Segment_Name].[All]" allUniqueName="[dim_customer_segment].[Customer_Segment_Name].[All]" dimensionUniqueName="[dim_customer_segment]" displayFolder="" count="2" memberValueDatatype="130" unbalanced="0">
      <fieldsUsage count="2">
        <fieldUsage x="-1"/>
        <fieldUsage x="1"/>
      </fieldsUsage>
    </cacheHierarchy>
    <cacheHierarchy uniqueName="[dim_date].[Date]" caption="Date" attribute="1" time="1" keyAttribute="1" defaultMemberUniqueName="[dim_date].[Date].[All]" allUniqueName="[dim_date].[Date].[All]" dimensionUniqueName="[dim_date]" displayFolder="" count="0" memberValueDatatype="7" unbalanced="0"/>
    <cacheHierarchy uniqueName="[dim_date].[Date Hierarchy]" caption="Date Hierarchy" time="1" defaultMemberUniqueName="[dim_date].[Date Hierarchy].[All]" allUniqueName="[dim_date].[Date Hierarchy].[All]" dimensionUniqueName="[dim_date]" displayFolder="" count="0" unbalanced="0"/>
    <cacheHierarchy uniqueName="[dim_date].[Year]" caption="Year" attribute="1" time="1" defaultMemberUniqueName="[dim_date].[Year].[All]" allUniqueName="[dim_date].[Year].[All]" dimensionUniqueName="[dim_date]" displayFolder="" count="0" memberValueDatatype="20" unbalanced="0"/>
    <cacheHierarchy uniqueName="[dim_date].[Month Number]" caption="Month Number" attribute="1" time="1" defaultMemberUniqueName="[dim_date].[Month Number].[All]" allUniqueName="[dim_date].[Month Number].[All]" dimensionUniqueName="[dim_date]" displayFolder="" count="2" memberValueDatatype="20" unbalanced="0"/>
    <cacheHierarchy uniqueName="[dim_date].[Month]" caption="Month" attribute="1" time="1" defaultMemberUniqueName="[dim_date].[Month].[All]" allUniqueName="[dim_date].[Month].[All]" dimensionUniqueName="[dim_date]" displayFolder="" count="0" memberValueDatatype="130" unbalanced="0"/>
    <cacheHierarchy uniqueName="[dim_date].[MMM-YYYY]" caption="MMM-YYYY" attribute="1" time="1" defaultMemberUniqueName="[dim_date].[MMM-YYYY].[All]" allUniqueName="[dim_date].[MMM-YYYY].[All]" dimensionUniqueName="[dim_date]" displayFolder="" count="0" memberValueDatatype="130" unbalanced="0"/>
    <cacheHierarchy uniqueName="[dim_date].[Day Of Week Number]" caption="Day Of Week Number" attribute="1" time="1" defaultMemberUniqueName="[dim_date].[Day Of Week Number].[All]" allUniqueName="[dim_date].[Day Of Week Number].[All]" dimensionUniqueName="[dim_date]" displayFolder="" count="0" memberValueDatatype="20" unbalanced="0"/>
    <cacheHierarchy uniqueName="[dim_date].[Day Of Week]" caption="Day Of Week" attribute="1" time="1" defaultMemberUniqueName="[dim_date].[Day Of Week].[All]" allUniqueName="[dim_date].[Day Of Week].[All]" dimensionUniqueName="[dim_date]" displayFolder="" count="0" memberValueDatatype="130" unbalanced="0"/>
    <cacheHierarchy uniqueName="[dim_date].[Year Month]" caption="Year Month" attribute="1" time="1" defaultMemberUniqueName="[dim_date].[Year Month].[All]" allUniqueName="[dim_date].[Year Month].[All]" dimensionUniqueName="[dim_date]" displayFolder="" count="0" memberValueDatatype="130" unbalanced="0"/>
    <cacheHierarchy uniqueName="[dim_date].[Quarter]" caption="Quarter" attribute="1" time="1" defaultMemberUniqueName="[dim_date].[Quarter].[All]" allUniqueName="[dim_date].[Quarter].[All]" dimensionUniqueName="[dim_date]" displayFolder="" count="0" memberValueDatatype="130" unbalanced="0"/>
    <cacheHierarchy uniqueName="[dim_product].[Product_ID]" caption="Product_ID" attribute="1" defaultMemberUniqueName="[dim_product].[Product_ID].[All]" allUniqueName="[dim_product].[Product_ID].[All]" dimensionUniqueName="[dim_product]" displayFolder="" count="0" memberValueDatatype="130" unbalanced="0"/>
    <cacheHierarchy uniqueName="[dim_product].[Product_Name]" caption="Product_Name" attribute="1" defaultMemberUniqueName="[dim_product].[Product_Name].[All]" allUniqueName="[dim_product].[Product_Name].[All]" dimensionUniqueName="[dim_product]" displayFolder="" count="2" memberValueDatatype="130" unbalanced="0">
      <fieldsUsage count="2">
        <fieldUsage x="-1"/>
        <fieldUsage x="4"/>
      </fieldsUsage>
    </cacheHierarchy>
    <cacheHierarchy uniqueName="[dim_product].[Manufacturing_Price]" caption="Manufacturing_Price" attribute="1" defaultMemberUniqueName="[dim_product].[Manufacturing_Price].[All]" allUniqueName="[dim_product].[Manufacturing_Price].[All]" dimensionUniqueName="[dim_product]" displayFolder="" count="0" memberValueDatatype="5" unbalanced="0"/>
    <cacheHierarchy uniqueName="[dim_region].[Region_ID]" caption="Region_ID" attribute="1" defaultMemberUniqueName="[dim_region].[Region_ID].[All]" allUniqueName="[dim_region].[Region_ID].[All]" dimensionUniqueName="[dim_region]" displayFolder="" count="0" memberValueDatatype="130" unbalanced="0"/>
    <cacheHierarchy uniqueName="[dim_region].[Country]" caption="Country" attribute="1" defaultMemberUniqueName="[dim_region].[Country].[All]" allUniqueName="[dim_region].[Country].[All]" dimensionUniqueName="[dim_region]" displayFolder="" count="2" memberValueDatatype="130" unbalanced="0">
      <fieldsUsage count="2">
        <fieldUsage x="-1"/>
        <fieldUsage x="2"/>
      </fieldsUsage>
    </cacheHierarchy>
    <cacheHierarchy uniqueName="[dim_region].[Continent]" caption="Continent" attribute="1" defaultMemberUniqueName="[dim_region].[Continent].[All]" allUniqueName="[dim_region].[Continent].[All]" dimensionUniqueName="[dim_region]" displayFolder="" count="0" memberValueDatatype="130" unbalanced="0"/>
    <cacheHierarchy uniqueName="[fact_sale_2020-2021].[Order_Date]" caption="Order_Date" attribute="1" time="1" defaultMemberUniqueName="[fact_sale_2020-2021].[Order_Date].[All]" allUniqueName="[fact_sale_2020-2021].[Order_Date].[All]" dimensionUniqueName="[fact_sale_2020-2021]" displayFolder="" count="0" memberValueDatatype="7" unbalanced="0"/>
    <cacheHierarchy uniqueName="[fact_sale_2020-2021].[Product_ID]" caption="Product_ID" attribute="1" defaultMemberUniqueName="[fact_sale_2020-2021].[Product_ID].[All]" allUniqueName="[fact_sale_2020-2021].[Product_ID].[All]" dimensionUniqueName="[fact_sale_2020-2021]" displayFolder="" count="0" memberValueDatatype="130" unbalanced="0"/>
    <cacheHierarchy uniqueName="[fact_sale_2020-2021].[Customer_ID]" caption="Customer_ID" attribute="1" defaultMemberUniqueName="[fact_sale_2020-2021].[Customer_ID].[All]" allUniqueName="[fact_sale_2020-2021].[Customer_ID].[All]" dimensionUniqueName="[fact_sale_2020-2021]" displayFolder="" count="0" memberValueDatatype="130" unbalanced="0"/>
    <cacheHierarchy uniqueName="[fact_sale_2020-2021].[Customer_Segment_ID]" caption="Customer_Segment_ID" attribute="1" defaultMemberUniqueName="[fact_sale_2020-2021].[Customer_Segment_ID].[All]" allUniqueName="[fact_sale_2020-2021].[Customer_Segment_ID].[All]" dimensionUniqueName="[fact_sale_2020-2021]" displayFolder="" count="0" memberValueDatatype="130" unbalanced="0"/>
    <cacheHierarchy uniqueName="[fact_sale_2020-2021].[Region_ID]" caption="Region_ID" attribute="1" defaultMemberUniqueName="[fact_sale_2020-2021].[Region_ID].[All]" allUniqueName="[fact_sale_2020-2021].[Region_ID].[All]" dimensionUniqueName="[fact_sale_2020-2021]" displayFolder="" count="0" memberValueDatatype="130" unbalanced="0"/>
    <cacheHierarchy uniqueName="[fact_sale_2020-2021].[Discount_Rate]" caption="Discount_Rate" attribute="1" defaultMemberUniqueName="[fact_sale_2020-2021].[Discount_Rate].[All]" allUniqueName="[fact_sale_2020-2021].[Discount_Rate].[All]" dimensionUniqueName="[fact_sale_2020-2021]" displayFolder="" count="0" memberValueDatatype="5" unbalanced="0"/>
    <cacheHierarchy uniqueName="[fact_sale_2020-2021].[Units_Sold]" caption="Units_Sold" attribute="1" defaultMemberUniqueName="[fact_sale_2020-2021].[Units_Sold].[All]" allUniqueName="[fact_sale_2020-2021].[Units_Sold].[All]" dimensionUniqueName="[fact_sale_2020-2021]" displayFolder="" count="0" memberValueDatatype="20" unbalanced="0"/>
    <cacheHierarchy uniqueName="[fact_sale_2020-2021].[Sale_Price]" caption="Sale_Price" attribute="1" defaultMemberUniqueName="[fact_sale_2020-2021].[Sale_Price].[All]" allUniqueName="[fact_sale_2020-2021].[Sale_Price].[All]" dimensionUniqueName="[fact_sale_2020-2021]" displayFolder="" count="0" memberValueDatatype="5" unbalanced="0"/>
    <cacheHierarchy uniqueName="[Measures].[Total Revenue]" caption="Total Revenue" measure="1" displayFolder="" measureGroup="fact_sale_2020-2021" count="0" oneField="1">
      <fieldsUsage count="1">
        <fieldUsage x="0"/>
      </fieldsUsage>
    </cacheHierarchy>
    <cacheHierarchy uniqueName="[Measures].[Total Cost]" caption="Total Cost" measure="1" displayFolder="" measureGroup="fact_sale_2020-2021" count="0" oneField="1">
      <fieldsUsage count="1">
        <fieldUsage x="5"/>
      </fieldsUsage>
    </cacheHierarchy>
    <cacheHierarchy uniqueName="[Measures].[Profit]" caption="Profit" measure="1" displayFolder="" measureGroup="fact_sale_2020-2021" count="0" oneField="1">
      <fieldsUsage count="1">
        <fieldUsage x="3"/>
      </fieldsUsage>
    </cacheHierarchy>
    <cacheHierarchy uniqueName="[Measures].[Profit Margin]" caption="Profit Margin" measure="1" displayFolder="" measureGroup="fact_sale_2020-2021" count="0"/>
    <cacheHierarchy uniqueName="[Measures].[Total Units Sold]" caption="Total Units Sold" measure="1" displayFolder="" measureGroup="fact_sale_2020-2021" count="0"/>
    <cacheHierarchy uniqueName="[Measures].[Total Customer]" caption="Total Customer" measure="1" displayFolder="" measureGroup="fact_sale_2020-2021" count="0"/>
    <cacheHierarchy uniqueName="[Measures].[Revenue LY]" caption="Revenue LY" measure="1" displayFolder="" measureGroup="fact_sale_2020-2021" count="0"/>
    <cacheHierarchy uniqueName="[Measures].[Revenue YoY%]" caption="Revenue YoY%" measure="1" displayFolder="" measureGroup="fact_sale_2020-2021" count="0"/>
    <cacheHierarchy uniqueName="[Measures].[Profit LY]" caption="Profit LY" measure="1" displayFolder="" measureGroup="fact_sale_2020-2021" count="0"/>
    <cacheHierarchy uniqueName="[Measures].[Profit YoY%]" caption="Profit YoY%" measure="1" displayFolder="" measureGroup="fact_sale_2020-2021" count="0"/>
    <cacheHierarchy uniqueName="[Measures].[Profit Margin LY]" caption="Profit Margin LY" measure="1" displayFolder="" measureGroup="fact_sale_2020-2021" count="0"/>
    <cacheHierarchy uniqueName="[Measures].[Profit Margin YoY (pp)]" caption="Profit Margin YoY (pp)" measure="1" displayFolder="" measureGroup="fact_sale_2020-2021" count="0"/>
    <cacheHierarchy uniqueName="[Measures].[Total Units Sold LY]" caption="Total Units Sold LY" measure="1" displayFolder="" measureGroup="fact_sale_2020-2021" count="0"/>
    <cacheHierarchy uniqueName="[Measures].[Units Sold YoY]" caption="Units Sold YoY" measure="1" displayFolder="" measureGroup="fact_sale_2020-2021" count="0"/>
    <cacheHierarchy uniqueName="[Measures].[Total Customer LY]" caption="Total Customer LY" measure="1" displayFolder="" measureGroup="fact_sale_2020-2021" count="0"/>
    <cacheHierarchy uniqueName="[Measures].[Customer YoY]" caption="Customer YoY" measure="1" displayFolder="" measureGroup="fact_sale_2020-2021" count="0"/>
    <cacheHierarchy uniqueName="[Measures].[__XL_Count fact_sale_2020-2021]" caption="__XL_Count fact_sale_2020-2021" measure="1" displayFolder="" measureGroup="fact_sale_2020-2021" count="0" hidden="1"/>
    <cacheHierarchy uniqueName="[Measures].[__XL_Count dim_customer]" caption="__XL_Count dim_customer" measure="1" displayFolder="" measureGroup="dim_customer" count="0" hidden="1"/>
    <cacheHierarchy uniqueName="[Measures].[__XL_Count dim_customer_segment]" caption="__XL_Count dim_customer_segment" measure="1" displayFolder="" measureGroup="dim_customer_segment" count="0" hidden="1"/>
    <cacheHierarchy uniqueName="[Measures].[__XL_Count dim_product]" caption="__XL_Count dim_product" measure="1" displayFolder="" measureGroup="dim_product" count="0" hidden="1"/>
    <cacheHierarchy uniqueName="[Measures].[__XL_Count dim_region]" caption="__XL_Count dim_region" measure="1" displayFolder="" measureGroup="dim_region" count="0" hidden="1"/>
    <cacheHierarchy uniqueName="[Measures].[__XL_Count Calendar]" caption="__XL_Count Calendar" measure="1" displayFolder="" measureGroup="dim_date" count="0" hidden="1"/>
    <cacheHierarchy uniqueName="[Measures].[__No measures defined]" caption="__No measures defined" measure="1" displayFolder="" count="0" hidden="1"/>
    <cacheHierarchy uniqueName="[Measures].[Sum of Discount_Rate]" caption="Sum of Discount_Rate" measure="1" displayFolder="" measureGroup="fact_sale_2020-2021" count="0" hidden="1">
      <extLst>
        <ext xmlns:x15="http://schemas.microsoft.com/office/spreadsheetml/2010/11/main" uri="{B97F6D7D-B522-45F9-BDA1-12C45D357490}">
          <x15:cacheHierarchy aggregatedColumn="25"/>
        </ext>
      </extLst>
    </cacheHierarchy>
  </cacheHierarchies>
  <kpis count="0"/>
  <dimensions count="7">
    <dimension name="dim_customer" uniqueName="[dim_customer]" caption="dim_customer"/>
    <dimension name="dim_customer_segment" uniqueName="[dim_customer_segment]" caption="dim_customer_segment"/>
    <dimension name="dim_date" uniqueName="[dim_date]" caption="dim_date"/>
    <dimension name="dim_product" uniqueName="[dim_product]" caption="dim_product"/>
    <dimension name="dim_region" uniqueName="[dim_region]" caption="dim_region"/>
    <dimension name="fact_sale_2020-2021" uniqueName="[fact_sale_2020-2021]" caption="fact_sale_2020-2021"/>
    <dimension measure="1" name="Measures" uniqueName="[Measures]" caption="Measures"/>
  </dimensions>
  <measureGroups count="6">
    <measureGroup name="dim_customer" caption="dim_customer"/>
    <measureGroup name="dim_customer_segment" caption="dim_customer_segment"/>
    <measureGroup name="dim_date" caption="dim_date"/>
    <measureGroup name="dim_product" caption="dim_product"/>
    <measureGroup name="dim_region" caption="dim_region"/>
    <measureGroup name="fact_sale_2020-2021" caption="fact_sale_2020-2021"/>
  </measureGroups>
  <maps count="11">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SI GAMING" refreshedDate="46077.814874074073" backgroundQuery="1" createdVersion="8" refreshedVersion="8" minRefreshableVersion="3" recordCount="0" supportSubquery="1" supportAdvancedDrill="1" xr:uid="{E3988057-028A-4F94-A0AF-A3672E081D7B}">
  <cacheSource type="external" connectionId="7"/>
  <cacheFields count="5">
    <cacheField name="[dim_date].[Year Month].[Year Month]" caption="Year Month" numFmtId="0" hierarchy="12" level="1">
      <sharedItems count="24">
        <s v="2020-01"/>
        <s v="2020-02"/>
        <s v="2020-03"/>
        <s v="2020-04"/>
        <s v="2020-05"/>
        <s v="2020-06"/>
        <s v="2020-07"/>
        <s v="2020-08"/>
        <s v="2020-09"/>
        <s v="2020-10"/>
        <s v="2020-11"/>
        <s v="2020-12"/>
        <s v="2021-01"/>
        <s v="2021-02"/>
        <s v="2021-03"/>
        <s v="2021-04"/>
        <s v="2021-05"/>
        <s v="2021-06"/>
        <s v="2021-07"/>
        <s v="2021-08"/>
        <s v="2021-09"/>
        <s v="2021-10"/>
        <s v="2021-11"/>
        <s v="2021-12"/>
      </sharedItems>
    </cacheField>
    <cacheField name="[Measures].[Total Revenue]" caption="Total Revenue" numFmtId="0" hierarchy="28" level="32767"/>
    <cacheField name="[Measures].[Profit]" caption="Profit" numFmtId="0" hierarchy="30" level="32767"/>
    <cacheField name="[Measures].[Profit Margin]" caption="Profit Margin" numFmtId="0" hierarchy="31" level="32767"/>
    <cacheField name="[dim_customer_segment].[Customer_Segment_Name].[Customer_Segment_Name]" caption="Customer_Segment_Name" numFmtId="0" hierarchy="3" level="1">
      <sharedItems containsSemiMixedTypes="0" containsNonDate="0" containsString="0"/>
    </cacheField>
  </cacheFields>
  <cacheHierarchies count="52">
    <cacheHierarchy uniqueName="[dim_customer].[Customer_ID]" caption="Customer_ID" attribute="1" defaultMemberUniqueName="[dim_customer].[Customer_ID].[All]" allUniqueName="[dim_customer].[Customer_ID].[All]" dimensionUniqueName="[dim_customer]" displayFolder="" count="0" memberValueDatatype="130" unbalanced="0"/>
    <cacheHierarchy uniqueName="[dim_customer].[Customer_Name]" caption="Customer_Name" attribute="1" defaultMemberUniqueName="[dim_customer].[Customer_Name].[All]" allUniqueName="[dim_customer].[Customer_Name].[All]" dimensionUniqueName="[dim_customer]" displayFolder="" count="0" memberValueDatatype="130" unbalanced="0"/>
    <cacheHierarchy uniqueName="[dim_customer_segment].[Customer_Segment_ID]" caption="Customer_Segment_ID" attribute="1" defaultMemberUniqueName="[dim_customer_segment].[Customer_Segment_ID].[All]" allUniqueName="[dim_customer_segment].[Customer_Segment_ID].[All]" dimensionUniqueName="[dim_customer_segment]" displayFolder="" count="0" memberValueDatatype="130" unbalanced="0"/>
    <cacheHierarchy uniqueName="[dim_customer_segment].[Customer_Segment_Name]" caption="Customer_Segment_Name" attribute="1" defaultMemberUniqueName="[dim_customer_segment].[Customer_Segment_Name].[All]" allUniqueName="[dim_customer_segment].[Customer_Segment_Name].[All]" dimensionUniqueName="[dim_customer_segment]" displayFolder="" count="2" memberValueDatatype="130" unbalanced="0">
      <fieldsUsage count="2">
        <fieldUsage x="-1"/>
        <fieldUsage x="4"/>
      </fieldsUsage>
    </cacheHierarchy>
    <cacheHierarchy uniqueName="[dim_date].[Date]" caption="Date" attribute="1" time="1" keyAttribute="1" defaultMemberUniqueName="[dim_date].[Date].[All]" allUniqueName="[dim_date].[Date].[All]" dimensionUniqueName="[dim_date]" displayFolder="" count="0" memberValueDatatype="7" unbalanced="0"/>
    <cacheHierarchy uniqueName="[dim_date].[Date Hierarchy]" caption="Date Hierarchy" time="1" defaultMemberUniqueName="[dim_date].[Date Hierarchy].[All]" allUniqueName="[dim_date].[Date Hierarchy].[All]" dimensionUniqueName="[dim_date]" displayFolder="" count="0" unbalanced="0"/>
    <cacheHierarchy uniqueName="[dim_date].[Year]" caption="Year" attribute="1" time="1" defaultMemberUniqueName="[dim_date].[Year].[All]" allUniqueName="[dim_date].[Year].[All]" dimensionUniqueName="[dim_date]" displayFolder="" count="0" memberValueDatatype="20" unbalanced="0"/>
    <cacheHierarchy uniqueName="[dim_date].[Month Number]" caption="Month Number" attribute="1" time="1" defaultMemberUniqueName="[dim_date].[Month Number].[All]" allUniqueName="[dim_date].[Month Number].[All]" dimensionUniqueName="[dim_date]" displayFolder="" count="2" memberValueDatatype="20" unbalanced="0"/>
    <cacheHierarchy uniqueName="[dim_date].[Month]" caption="Month" attribute="1" time="1" defaultMemberUniqueName="[dim_date].[Month].[All]" allUniqueName="[dim_date].[Month].[All]" dimensionUniqueName="[dim_date]" displayFolder="" count="0" memberValueDatatype="130" unbalanced="0"/>
    <cacheHierarchy uniqueName="[dim_date].[MMM-YYYY]" caption="MMM-YYYY" attribute="1" time="1" defaultMemberUniqueName="[dim_date].[MMM-YYYY].[All]" allUniqueName="[dim_date].[MMM-YYYY].[All]" dimensionUniqueName="[dim_date]" displayFolder="" count="0" memberValueDatatype="130" unbalanced="0"/>
    <cacheHierarchy uniqueName="[dim_date].[Day Of Week Number]" caption="Day Of Week Number" attribute="1" time="1" defaultMemberUniqueName="[dim_date].[Day Of Week Number].[All]" allUniqueName="[dim_date].[Day Of Week Number].[All]" dimensionUniqueName="[dim_date]" displayFolder="" count="0" memberValueDatatype="20" unbalanced="0"/>
    <cacheHierarchy uniqueName="[dim_date].[Day Of Week]" caption="Day Of Week" attribute="1" time="1" defaultMemberUniqueName="[dim_date].[Day Of Week].[All]" allUniqueName="[dim_date].[Day Of Week].[All]" dimensionUniqueName="[dim_date]" displayFolder="" count="0" memberValueDatatype="130" unbalanced="0"/>
    <cacheHierarchy uniqueName="[dim_date].[Year Month]" caption="Year Month" attribute="1" time="1" defaultMemberUniqueName="[dim_date].[Year Month].[All]" allUniqueName="[dim_date].[Year Month].[All]" dimensionUniqueName="[dim_date]" displayFolder="" count="2" memberValueDatatype="130" unbalanced="0">
      <fieldsUsage count="2">
        <fieldUsage x="-1"/>
        <fieldUsage x="0"/>
      </fieldsUsage>
    </cacheHierarchy>
    <cacheHierarchy uniqueName="[dim_date].[Quarter]" caption="Quarter" attribute="1" time="1" defaultMemberUniqueName="[dim_date].[Quarter].[All]" allUniqueName="[dim_date].[Quarter].[All]" dimensionUniqueName="[dim_date]" displayFolder="" count="0" memberValueDatatype="130" unbalanced="0"/>
    <cacheHierarchy uniqueName="[dim_product].[Product_ID]" caption="Product_ID" attribute="1" defaultMemberUniqueName="[dim_product].[Product_ID].[All]" allUniqueName="[dim_product].[Product_ID].[All]" dimensionUniqueName="[dim_product]" displayFolder="" count="0" memberValueDatatype="130" unbalanced="0"/>
    <cacheHierarchy uniqueName="[dim_product].[Product_Name]" caption="Product_Name" attribute="1" defaultMemberUniqueName="[dim_product].[Product_Name].[All]" allUniqueName="[dim_product].[Product_Name].[All]" dimensionUniqueName="[dim_product]" displayFolder="" count="0" memberValueDatatype="130" unbalanced="0"/>
    <cacheHierarchy uniqueName="[dim_product].[Manufacturing_Price]" caption="Manufacturing_Price" attribute="1" defaultMemberUniqueName="[dim_product].[Manufacturing_Price].[All]" allUniqueName="[dim_product].[Manufacturing_Price].[All]" dimensionUniqueName="[dim_product]" displayFolder="" count="0" memberValueDatatype="5" unbalanced="0"/>
    <cacheHierarchy uniqueName="[dim_region].[Region_ID]" caption="Region_ID" attribute="1" defaultMemberUniqueName="[dim_region].[Region_ID].[All]" allUniqueName="[dim_region].[Region_ID].[All]" dimensionUniqueName="[dim_region]" displayFolder="" count="0" memberValueDatatype="130" unbalanced="0"/>
    <cacheHierarchy uniqueName="[dim_region].[Country]" caption="Country" attribute="1" defaultMemberUniqueName="[dim_region].[Country].[All]" allUniqueName="[dim_region].[Country].[All]" dimensionUniqueName="[dim_region]" displayFolder="" count="2" memberValueDatatype="130" unbalanced="0"/>
    <cacheHierarchy uniqueName="[dim_region].[Continent]" caption="Continent" attribute="1" defaultMemberUniqueName="[dim_region].[Continent].[All]" allUniqueName="[dim_region].[Continent].[All]" dimensionUniqueName="[dim_region]" displayFolder="" count="0" memberValueDatatype="130" unbalanced="0"/>
    <cacheHierarchy uniqueName="[fact_sale_2020-2021].[Order_Date]" caption="Order_Date" attribute="1" time="1" defaultMemberUniqueName="[fact_sale_2020-2021].[Order_Date].[All]" allUniqueName="[fact_sale_2020-2021].[Order_Date].[All]" dimensionUniqueName="[fact_sale_2020-2021]" displayFolder="" count="0" memberValueDatatype="7" unbalanced="0"/>
    <cacheHierarchy uniqueName="[fact_sale_2020-2021].[Product_ID]" caption="Product_ID" attribute="1" defaultMemberUniqueName="[fact_sale_2020-2021].[Product_ID].[All]" allUniqueName="[fact_sale_2020-2021].[Product_ID].[All]" dimensionUniqueName="[fact_sale_2020-2021]" displayFolder="" count="0" memberValueDatatype="130" unbalanced="0"/>
    <cacheHierarchy uniqueName="[fact_sale_2020-2021].[Customer_ID]" caption="Customer_ID" attribute="1" defaultMemberUniqueName="[fact_sale_2020-2021].[Customer_ID].[All]" allUniqueName="[fact_sale_2020-2021].[Customer_ID].[All]" dimensionUniqueName="[fact_sale_2020-2021]" displayFolder="" count="0" memberValueDatatype="130" unbalanced="0"/>
    <cacheHierarchy uniqueName="[fact_sale_2020-2021].[Customer_Segment_ID]" caption="Customer_Segment_ID" attribute="1" defaultMemberUniqueName="[fact_sale_2020-2021].[Customer_Segment_ID].[All]" allUniqueName="[fact_sale_2020-2021].[Customer_Segment_ID].[All]" dimensionUniqueName="[fact_sale_2020-2021]" displayFolder="" count="0" memberValueDatatype="130" unbalanced="0"/>
    <cacheHierarchy uniqueName="[fact_sale_2020-2021].[Region_ID]" caption="Region_ID" attribute="1" defaultMemberUniqueName="[fact_sale_2020-2021].[Region_ID].[All]" allUniqueName="[fact_sale_2020-2021].[Region_ID].[All]" dimensionUniqueName="[fact_sale_2020-2021]" displayFolder="" count="0" memberValueDatatype="130" unbalanced="0"/>
    <cacheHierarchy uniqueName="[fact_sale_2020-2021].[Discount_Rate]" caption="Discount_Rate" attribute="1" defaultMemberUniqueName="[fact_sale_2020-2021].[Discount_Rate].[All]" allUniqueName="[fact_sale_2020-2021].[Discount_Rate].[All]" dimensionUniqueName="[fact_sale_2020-2021]" displayFolder="" count="0" memberValueDatatype="5" unbalanced="0"/>
    <cacheHierarchy uniqueName="[fact_sale_2020-2021].[Units_Sold]" caption="Units_Sold" attribute="1" defaultMemberUniqueName="[fact_sale_2020-2021].[Units_Sold].[All]" allUniqueName="[fact_sale_2020-2021].[Units_Sold].[All]" dimensionUniqueName="[fact_sale_2020-2021]" displayFolder="" count="0" memberValueDatatype="20" unbalanced="0"/>
    <cacheHierarchy uniqueName="[fact_sale_2020-2021].[Sale_Price]" caption="Sale_Price" attribute="1" defaultMemberUniqueName="[fact_sale_2020-2021].[Sale_Price].[All]" allUniqueName="[fact_sale_2020-2021].[Sale_Price].[All]" dimensionUniqueName="[fact_sale_2020-2021]" displayFolder="" count="0" memberValueDatatype="5" unbalanced="0"/>
    <cacheHierarchy uniqueName="[Measures].[Total Revenue]" caption="Total Revenue" measure="1" displayFolder="" measureGroup="fact_sale_2020-2021" count="0" oneField="1">
      <fieldsUsage count="1">
        <fieldUsage x="1"/>
      </fieldsUsage>
    </cacheHierarchy>
    <cacheHierarchy uniqueName="[Measures].[Total Cost]" caption="Total Cost" measure="1" displayFolder="" measureGroup="fact_sale_2020-2021" count="0"/>
    <cacheHierarchy uniqueName="[Measures].[Profit]" caption="Profit" measure="1" displayFolder="" measureGroup="fact_sale_2020-2021" count="0" oneField="1">
      <fieldsUsage count="1">
        <fieldUsage x="2"/>
      </fieldsUsage>
    </cacheHierarchy>
    <cacheHierarchy uniqueName="[Measures].[Profit Margin]" caption="Profit Margin" measure="1" displayFolder="" measureGroup="fact_sale_2020-2021" count="0" oneField="1">
      <fieldsUsage count="1">
        <fieldUsage x="3"/>
      </fieldsUsage>
    </cacheHierarchy>
    <cacheHierarchy uniqueName="[Measures].[Total Units Sold]" caption="Total Units Sold" measure="1" displayFolder="" measureGroup="fact_sale_2020-2021" count="0"/>
    <cacheHierarchy uniqueName="[Measures].[Total Customer]" caption="Total Customer" measure="1" displayFolder="" measureGroup="fact_sale_2020-2021" count="0"/>
    <cacheHierarchy uniqueName="[Measures].[Revenue LY]" caption="Revenue LY" measure="1" displayFolder="" measureGroup="fact_sale_2020-2021" count="0"/>
    <cacheHierarchy uniqueName="[Measures].[Revenue YoY%]" caption="Revenue YoY%" measure="1" displayFolder="" measureGroup="fact_sale_2020-2021" count="0"/>
    <cacheHierarchy uniqueName="[Measures].[Profit LY]" caption="Profit LY" measure="1" displayFolder="" measureGroup="fact_sale_2020-2021" count="0"/>
    <cacheHierarchy uniqueName="[Measures].[Profit YoY%]" caption="Profit YoY%" measure="1" displayFolder="" measureGroup="fact_sale_2020-2021" count="0"/>
    <cacheHierarchy uniqueName="[Measures].[Profit Margin LY]" caption="Profit Margin LY" measure="1" displayFolder="" measureGroup="fact_sale_2020-2021" count="0"/>
    <cacheHierarchy uniqueName="[Measures].[Profit Margin YoY (pp)]" caption="Profit Margin YoY (pp)" measure="1" displayFolder="" measureGroup="fact_sale_2020-2021" count="0"/>
    <cacheHierarchy uniqueName="[Measures].[Total Units Sold LY]" caption="Total Units Sold LY" measure="1" displayFolder="" measureGroup="fact_sale_2020-2021" count="0"/>
    <cacheHierarchy uniqueName="[Measures].[Units Sold YoY]" caption="Units Sold YoY" measure="1" displayFolder="" measureGroup="fact_sale_2020-2021" count="0"/>
    <cacheHierarchy uniqueName="[Measures].[Total Customer LY]" caption="Total Customer LY" measure="1" displayFolder="" measureGroup="fact_sale_2020-2021" count="0"/>
    <cacheHierarchy uniqueName="[Measures].[Customer YoY]" caption="Customer YoY" measure="1" displayFolder="" measureGroup="fact_sale_2020-2021" count="0"/>
    <cacheHierarchy uniqueName="[Measures].[__XL_Count fact_sale_2020-2021]" caption="__XL_Count fact_sale_2020-2021" measure="1" displayFolder="" measureGroup="fact_sale_2020-2021" count="0" hidden="1"/>
    <cacheHierarchy uniqueName="[Measures].[__XL_Count dim_customer]" caption="__XL_Count dim_customer" measure="1" displayFolder="" measureGroup="dim_customer" count="0" hidden="1"/>
    <cacheHierarchy uniqueName="[Measures].[__XL_Count dim_customer_segment]" caption="__XL_Count dim_customer_segment" measure="1" displayFolder="" measureGroup="dim_customer_segment" count="0" hidden="1"/>
    <cacheHierarchy uniqueName="[Measures].[__XL_Count dim_product]" caption="__XL_Count dim_product" measure="1" displayFolder="" measureGroup="dim_product" count="0" hidden="1"/>
    <cacheHierarchy uniqueName="[Measures].[__XL_Count dim_region]" caption="__XL_Count dim_region" measure="1" displayFolder="" measureGroup="dim_region" count="0" hidden="1"/>
    <cacheHierarchy uniqueName="[Measures].[__XL_Count Calendar]" caption="__XL_Count Calendar" measure="1" displayFolder="" measureGroup="dim_date" count="0" hidden="1"/>
    <cacheHierarchy uniqueName="[Measures].[__No measures defined]" caption="__No measures defined" measure="1" displayFolder="" count="0" hidden="1"/>
    <cacheHierarchy uniqueName="[Measures].[Sum of Discount_Rate]" caption="Sum of Discount_Rate" measure="1" displayFolder="" measureGroup="fact_sale_2020-2021" count="0" hidden="1">
      <extLst>
        <ext xmlns:x15="http://schemas.microsoft.com/office/spreadsheetml/2010/11/main" uri="{B97F6D7D-B522-45F9-BDA1-12C45D357490}">
          <x15:cacheHierarchy aggregatedColumn="25"/>
        </ext>
      </extLst>
    </cacheHierarchy>
  </cacheHierarchies>
  <kpis count="0"/>
  <dimensions count="7">
    <dimension name="dim_customer" uniqueName="[dim_customer]" caption="dim_customer"/>
    <dimension name="dim_customer_segment" uniqueName="[dim_customer_segment]" caption="dim_customer_segment"/>
    <dimension name="dim_date" uniqueName="[dim_date]" caption="dim_date"/>
    <dimension name="dim_product" uniqueName="[dim_product]" caption="dim_product"/>
    <dimension name="dim_region" uniqueName="[dim_region]" caption="dim_region"/>
    <dimension name="fact_sale_2020-2021" uniqueName="[fact_sale_2020-2021]" caption="fact_sale_2020-2021"/>
    <dimension measure="1" name="Measures" uniqueName="[Measures]" caption="Measures"/>
  </dimensions>
  <measureGroups count="6">
    <measureGroup name="dim_customer" caption="dim_customer"/>
    <measureGroup name="dim_customer_segment" caption="dim_customer_segment"/>
    <measureGroup name="dim_date" caption="dim_date"/>
    <measureGroup name="dim_product" caption="dim_product"/>
    <measureGroup name="dim_region" caption="dim_region"/>
    <measureGroup name="fact_sale_2020-2021" caption="fact_sale_2020-2021"/>
  </measureGroups>
  <maps count="11">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SI GAMING" refreshedDate="46077.815351504629" backgroundQuery="1" createdVersion="8" refreshedVersion="8" minRefreshableVersion="3" recordCount="0" supportSubquery="1" supportAdvancedDrill="1" xr:uid="{379E5A84-45FC-48CB-A6AC-A7E5087D4853}">
  <cacheSource type="external" connectionId="7"/>
  <cacheFields count="3">
    <cacheField name="[Measures].[Sum of Discount_Rate]" caption="Sum of Discount_Rate" numFmtId="0" hierarchy="51" level="32767"/>
    <cacheField name="[dim_product].[Product_Name].[Product_Name]" caption="Product_Name" numFmtId="0" hierarchy="15" level="1">
      <sharedItems count="6">
        <s v="City Cruiser"/>
        <s v="Road Racer"/>
        <s v="Speedster"/>
        <s v="Trail Master"/>
        <s v="X-Terrain"/>
        <s v="Yellow Edition"/>
      </sharedItems>
    </cacheField>
    <cacheField name="[Measures].[Profit]" caption="Profit" numFmtId="0" hierarchy="30" level="32767"/>
  </cacheFields>
  <cacheHierarchies count="52">
    <cacheHierarchy uniqueName="[dim_customer].[Customer_ID]" caption="Customer_ID" attribute="1" defaultMemberUniqueName="[dim_customer].[Customer_ID].[All]" allUniqueName="[dim_customer].[Customer_ID].[All]" dimensionUniqueName="[dim_customer]" displayFolder="" count="0" memberValueDatatype="130" unbalanced="0"/>
    <cacheHierarchy uniqueName="[dim_customer].[Customer_Name]" caption="Customer_Name" attribute="1" defaultMemberUniqueName="[dim_customer].[Customer_Name].[All]" allUniqueName="[dim_customer].[Customer_Name].[All]" dimensionUniqueName="[dim_customer]" displayFolder="" count="0" memberValueDatatype="130" unbalanced="0"/>
    <cacheHierarchy uniqueName="[dim_customer_segment].[Customer_Segment_ID]" caption="Customer_Segment_ID" attribute="1" defaultMemberUniqueName="[dim_customer_segment].[Customer_Segment_ID].[All]" allUniqueName="[dim_customer_segment].[Customer_Segment_ID].[All]" dimensionUniqueName="[dim_customer_segment]" displayFolder="" count="0" memberValueDatatype="130" unbalanced="0"/>
    <cacheHierarchy uniqueName="[dim_customer_segment].[Customer_Segment_Name]" caption="Customer_Segment_Name" attribute="1" defaultMemberUniqueName="[dim_customer_segment].[Customer_Segment_Name].[All]" allUniqueName="[dim_customer_segment].[Customer_Segment_Name].[All]" dimensionUniqueName="[dim_customer_segment]" displayFolder="" count="2" memberValueDatatype="130" unbalanced="0"/>
    <cacheHierarchy uniqueName="[dim_date].[Date]" caption="Date" attribute="1" time="1" keyAttribute="1" defaultMemberUniqueName="[dim_date].[Date].[All]" allUniqueName="[dim_date].[Date].[All]" dimensionUniqueName="[dim_date]" displayFolder="" count="0" memberValueDatatype="7" unbalanced="0"/>
    <cacheHierarchy uniqueName="[dim_date].[Date Hierarchy]" caption="Date Hierarchy" time="1" defaultMemberUniqueName="[dim_date].[Date Hierarchy].[All]" allUniqueName="[dim_date].[Date Hierarchy].[All]" dimensionUniqueName="[dim_date]" displayFolder="" count="0" unbalanced="0"/>
    <cacheHierarchy uniqueName="[dim_date].[Year]" caption="Year" attribute="1" time="1" defaultMemberUniqueName="[dim_date].[Year].[All]" allUniqueName="[dim_date].[Year].[All]" dimensionUniqueName="[dim_date]" displayFolder="" count="0" memberValueDatatype="20" unbalanced="0"/>
    <cacheHierarchy uniqueName="[dim_date].[Month Number]" caption="Month Number" attribute="1" time="1" defaultMemberUniqueName="[dim_date].[Month Number].[All]" allUniqueName="[dim_date].[Month Number].[All]" dimensionUniqueName="[dim_date]" displayFolder="" count="2" memberValueDatatype="20" unbalanced="0"/>
    <cacheHierarchy uniqueName="[dim_date].[Month]" caption="Month" attribute="1" time="1" defaultMemberUniqueName="[dim_date].[Month].[All]" allUniqueName="[dim_date].[Month].[All]" dimensionUniqueName="[dim_date]" displayFolder="" count="0" memberValueDatatype="130" unbalanced="0"/>
    <cacheHierarchy uniqueName="[dim_date].[MMM-YYYY]" caption="MMM-YYYY" attribute="1" time="1" defaultMemberUniqueName="[dim_date].[MMM-YYYY].[All]" allUniqueName="[dim_date].[MMM-YYYY].[All]" dimensionUniqueName="[dim_date]" displayFolder="" count="0" memberValueDatatype="130" unbalanced="0"/>
    <cacheHierarchy uniqueName="[dim_date].[Day Of Week Number]" caption="Day Of Week Number" attribute="1" time="1" defaultMemberUniqueName="[dim_date].[Day Of Week Number].[All]" allUniqueName="[dim_date].[Day Of Week Number].[All]" dimensionUniqueName="[dim_date]" displayFolder="" count="0" memberValueDatatype="20" unbalanced="0"/>
    <cacheHierarchy uniqueName="[dim_date].[Day Of Week]" caption="Day Of Week" attribute="1" time="1" defaultMemberUniqueName="[dim_date].[Day Of Week].[All]" allUniqueName="[dim_date].[Day Of Week].[All]" dimensionUniqueName="[dim_date]" displayFolder="" count="0" memberValueDatatype="130" unbalanced="0"/>
    <cacheHierarchy uniqueName="[dim_date].[Year Month]" caption="Year Month" attribute="1" time="1" defaultMemberUniqueName="[dim_date].[Year Month].[All]" allUniqueName="[dim_date].[Year Month].[All]" dimensionUniqueName="[dim_date]" displayFolder="" count="0" memberValueDatatype="130" unbalanced="0"/>
    <cacheHierarchy uniqueName="[dim_date].[Quarter]" caption="Quarter" attribute="1" time="1" defaultMemberUniqueName="[dim_date].[Quarter].[All]" allUniqueName="[dim_date].[Quarter].[All]" dimensionUniqueName="[dim_date]" displayFolder="" count="0" memberValueDatatype="130" unbalanced="0"/>
    <cacheHierarchy uniqueName="[dim_product].[Product_ID]" caption="Product_ID" attribute="1" defaultMemberUniqueName="[dim_product].[Product_ID].[All]" allUniqueName="[dim_product].[Product_ID].[All]" dimensionUniqueName="[dim_product]" displayFolder="" count="0" memberValueDatatype="130" unbalanced="0"/>
    <cacheHierarchy uniqueName="[dim_product].[Product_Name]" caption="Product_Name" attribute="1" defaultMemberUniqueName="[dim_product].[Product_Name].[All]" allUniqueName="[dim_product].[Product_Name].[All]" dimensionUniqueName="[dim_product]" displayFolder="" count="2" memberValueDatatype="130" unbalanced="0">
      <fieldsUsage count="2">
        <fieldUsage x="-1"/>
        <fieldUsage x="1"/>
      </fieldsUsage>
    </cacheHierarchy>
    <cacheHierarchy uniqueName="[dim_product].[Manufacturing_Price]" caption="Manufacturing_Price" attribute="1" defaultMemberUniqueName="[dim_product].[Manufacturing_Price].[All]" allUniqueName="[dim_product].[Manufacturing_Price].[All]" dimensionUniqueName="[dim_product]" displayFolder="" count="0" memberValueDatatype="5" unbalanced="0"/>
    <cacheHierarchy uniqueName="[dim_region].[Region_ID]" caption="Region_ID" attribute="1" defaultMemberUniqueName="[dim_region].[Region_ID].[All]" allUniqueName="[dim_region].[Region_ID].[All]" dimensionUniqueName="[dim_region]" displayFolder="" count="0" memberValueDatatype="130" unbalanced="0"/>
    <cacheHierarchy uniqueName="[dim_region].[Country]" caption="Country" attribute="1" defaultMemberUniqueName="[dim_region].[Country].[All]" allUniqueName="[dim_region].[Country].[All]" dimensionUniqueName="[dim_region]" displayFolder="" count="2" memberValueDatatype="130" unbalanced="0"/>
    <cacheHierarchy uniqueName="[dim_region].[Continent]" caption="Continent" attribute="1" defaultMemberUniqueName="[dim_region].[Continent].[All]" allUniqueName="[dim_region].[Continent].[All]" dimensionUniqueName="[dim_region]" displayFolder="" count="0" memberValueDatatype="130" unbalanced="0"/>
    <cacheHierarchy uniqueName="[fact_sale_2020-2021].[Order_Date]" caption="Order_Date" attribute="1" time="1" defaultMemberUniqueName="[fact_sale_2020-2021].[Order_Date].[All]" allUniqueName="[fact_sale_2020-2021].[Order_Date].[All]" dimensionUniqueName="[fact_sale_2020-2021]" displayFolder="" count="0" memberValueDatatype="7" unbalanced="0"/>
    <cacheHierarchy uniqueName="[fact_sale_2020-2021].[Product_ID]" caption="Product_ID" attribute="1" defaultMemberUniqueName="[fact_sale_2020-2021].[Product_ID].[All]" allUniqueName="[fact_sale_2020-2021].[Product_ID].[All]" dimensionUniqueName="[fact_sale_2020-2021]" displayFolder="" count="0" memberValueDatatype="130" unbalanced="0"/>
    <cacheHierarchy uniqueName="[fact_sale_2020-2021].[Customer_ID]" caption="Customer_ID" attribute="1" defaultMemberUniqueName="[fact_sale_2020-2021].[Customer_ID].[All]" allUniqueName="[fact_sale_2020-2021].[Customer_ID].[All]" dimensionUniqueName="[fact_sale_2020-2021]" displayFolder="" count="0" memberValueDatatype="130" unbalanced="0"/>
    <cacheHierarchy uniqueName="[fact_sale_2020-2021].[Customer_Segment_ID]" caption="Customer_Segment_ID" attribute="1" defaultMemberUniqueName="[fact_sale_2020-2021].[Customer_Segment_ID].[All]" allUniqueName="[fact_sale_2020-2021].[Customer_Segment_ID].[All]" dimensionUniqueName="[fact_sale_2020-2021]" displayFolder="" count="0" memberValueDatatype="130" unbalanced="0"/>
    <cacheHierarchy uniqueName="[fact_sale_2020-2021].[Region_ID]" caption="Region_ID" attribute="1" defaultMemberUniqueName="[fact_sale_2020-2021].[Region_ID].[All]" allUniqueName="[fact_sale_2020-2021].[Region_ID].[All]" dimensionUniqueName="[fact_sale_2020-2021]" displayFolder="" count="0" memberValueDatatype="130" unbalanced="0"/>
    <cacheHierarchy uniqueName="[fact_sale_2020-2021].[Discount_Rate]" caption="Discount_Rate" attribute="1" defaultMemberUniqueName="[fact_sale_2020-2021].[Discount_Rate].[All]" allUniqueName="[fact_sale_2020-2021].[Discount_Rate].[All]" dimensionUniqueName="[fact_sale_2020-2021]" displayFolder="" count="0" memberValueDatatype="5" unbalanced="0"/>
    <cacheHierarchy uniqueName="[fact_sale_2020-2021].[Units_Sold]" caption="Units_Sold" attribute="1" defaultMemberUniqueName="[fact_sale_2020-2021].[Units_Sold].[All]" allUniqueName="[fact_sale_2020-2021].[Units_Sold].[All]" dimensionUniqueName="[fact_sale_2020-2021]" displayFolder="" count="0" memberValueDatatype="20" unbalanced="0"/>
    <cacheHierarchy uniqueName="[fact_sale_2020-2021].[Sale_Price]" caption="Sale_Price" attribute="1" defaultMemberUniqueName="[fact_sale_2020-2021].[Sale_Price].[All]" allUniqueName="[fact_sale_2020-2021].[Sale_Price].[All]" dimensionUniqueName="[fact_sale_2020-2021]" displayFolder="" count="0" memberValueDatatype="5" unbalanced="0"/>
    <cacheHierarchy uniqueName="[Measures].[Total Revenue]" caption="Total Revenue" measure="1" displayFolder="" measureGroup="fact_sale_2020-2021" count="0"/>
    <cacheHierarchy uniqueName="[Measures].[Total Cost]" caption="Total Cost" measure="1" displayFolder="" measureGroup="fact_sale_2020-2021" count="0"/>
    <cacheHierarchy uniqueName="[Measures].[Profit]" caption="Profit" measure="1" displayFolder="" measureGroup="fact_sale_2020-2021" count="0" oneField="1">
      <fieldsUsage count="1">
        <fieldUsage x="2"/>
      </fieldsUsage>
    </cacheHierarchy>
    <cacheHierarchy uniqueName="[Measures].[Profit Margin]" caption="Profit Margin" measure="1" displayFolder="" measureGroup="fact_sale_2020-2021" count="0"/>
    <cacheHierarchy uniqueName="[Measures].[Total Units Sold]" caption="Total Units Sold" measure="1" displayFolder="" measureGroup="fact_sale_2020-2021" count="0"/>
    <cacheHierarchy uniqueName="[Measures].[Total Customer]" caption="Total Customer" measure="1" displayFolder="" measureGroup="fact_sale_2020-2021" count="0"/>
    <cacheHierarchy uniqueName="[Measures].[Revenue LY]" caption="Revenue LY" measure="1" displayFolder="" measureGroup="fact_sale_2020-2021" count="0"/>
    <cacheHierarchy uniqueName="[Measures].[Revenue YoY%]" caption="Revenue YoY%" measure="1" displayFolder="" measureGroup="fact_sale_2020-2021" count="0"/>
    <cacheHierarchy uniqueName="[Measures].[Profit LY]" caption="Profit LY" measure="1" displayFolder="" measureGroup="fact_sale_2020-2021" count="0"/>
    <cacheHierarchy uniqueName="[Measures].[Profit YoY%]" caption="Profit YoY%" measure="1" displayFolder="" measureGroup="fact_sale_2020-2021" count="0"/>
    <cacheHierarchy uniqueName="[Measures].[Profit Margin LY]" caption="Profit Margin LY" measure="1" displayFolder="" measureGroup="fact_sale_2020-2021" count="0"/>
    <cacheHierarchy uniqueName="[Measures].[Profit Margin YoY (pp)]" caption="Profit Margin YoY (pp)" measure="1" displayFolder="" measureGroup="fact_sale_2020-2021" count="0"/>
    <cacheHierarchy uniqueName="[Measures].[Total Units Sold LY]" caption="Total Units Sold LY" measure="1" displayFolder="" measureGroup="fact_sale_2020-2021" count="0"/>
    <cacheHierarchy uniqueName="[Measures].[Units Sold YoY]" caption="Units Sold YoY" measure="1" displayFolder="" measureGroup="fact_sale_2020-2021" count="0"/>
    <cacheHierarchy uniqueName="[Measures].[Total Customer LY]" caption="Total Customer LY" measure="1" displayFolder="" measureGroup="fact_sale_2020-2021" count="0"/>
    <cacheHierarchy uniqueName="[Measures].[Customer YoY]" caption="Customer YoY" measure="1" displayFolder="" measureGroup="fact_sale_2020-2021" count="0"/>
    <cacheHierarchy uniqueName="[Measures].[__XL_Count fact_sale_2020-2021]" caption="__XL_Count fact_sale_2020-2021" measure="1" displayFolder="" measureGroup="fact_sale_2020-2021" count="0" hidden="1"/>
    <cacheHierarchy uniqueName="[Measures].[__XL_Count dim_customer]" caption="__XL_Count dim_customer" measure="1" displayFolder="" measureGroup="dim_customer" count="0" hidden="1"/>
    <cacheHierarchy uniqueName="[Measures].[__XL_Count dim_customer_segment]" caption="__XL_Count dim_customer_segment" measure="1" displayFolder="" measureGroup="dim_customer_segment" count="0" hidden="1"/>
    <cacheHierarchy uniqueName="[Measures].[__XL_Count dim_product]" caption="__XL_Count dim_product" measure="1" displayFolder="" measureGroup="dim_product" count="0" hidden="1"/>
    <cacheHierarchy uniqueName="[Measures].[__XL_Count dim_region]" caption="__XL_Count dim_region" measure="1" displayFolder="" measureGroup="dim_region" count="0" hidden="1"/>
    <cacheHierarchy uniqueName="[Measures].[__XL_Count Calendar]" caption="__XL_Count Calendar" measure="1" displayFolder="" measureGroup="dim_date" count="0" hidden="1"/>
    <cacheHierarchy uniqueName="[Measures].[__No measures defined]" caption="__No measures defined" measure="1" displayFolder="" count="0" hidden="1"/>
    <cacheHierarchy uniqueName="[Measures].[Sum of Discount_Rate]" caption="Sum of Discount_Rate" measure="1" displayFolder="" measureGroup="fact_sale_2020-2021" count="0" oneField="1" hidden="1">
      <fieldsUsage count="1">
        <fieldUsage x="0"/>
      </fieldsUsage>
      <extLst>
        <ext xmlns:x15="http://schemas.microsoft.com/office/spreadsheetml/2010/11/main" uri="{B97F6D7D-B522-45F9-BDA1-12C45D357490}">
          <x15:cacheHierarchy aggregatedColumn="25"/>
        </ext>
      </extLst>
    </cacheHierarchy>
  </cacheHierarchies>
  <kpis count="0"/>
  <dimensions count="7">
    <dimension name="dim_customer" uniqueName="[dim_customer]" caption="dim_customer"/>
    <dimension name="dim_customer_segment" uniqueName="[dim_customer_segment]" caption="dim_customer_segment"/>
    <dimension name="dim_date" uniqueName="[dim_date]" caption="dim_date"/>
    <dimension name="dim_product" uniqueName="[dim_product]" caption="dim_product"/>
    <dimension name="dim_region" uniqueName="[dim_region]" caption="dim_region"/>
    <dimension name="fact_sale_2020-2021" uniqueName="[fact_sale_2020-2021]" caption="fact_sale_2020-2021"/>
    <dimension measure="1" name="Measures" uniqueName="[Measures]" caption="Measures"/>
  </dimensions>
  <measureGroups count="6">
    <measureGroup name="dim_customer" caption="dim_customer"/>
    <measureGroup name="dim_customer_segment" caption="dim_customer_segment"/>
    <measureGroup name="dim_date" caption="dim_date"/>
    <measureGroup name="dim_product" caption="dim_product"/>
    <measureGroup name="dim_region" caption="dim_region"/>
    <measureGroup name="fact_sale_2020-2021" caption="fact_sale_2020-2021"/>
  </measureGroups>
  <maps count="11">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SI GAMING" refreshedDate="46076.710102546298" backgroundQuery="1" createdVersion="3" refreshedVersion="8" minRefreshableVersion="3" recordCount="0" supportSubquery="1" supportAdvancedDrill="1" xr:uid="{64CB2CB5-056F-4104-9D46-5DA4223DD5D0}">
  <cacheSource type="external" connectionId="7">
    <extLst>
      <ext xmlns:x14="http://schemas.microsoft.com/office/spreadsheetml/2009/9/main" uri="{F057638F-6D5F-4e77-A914-E7F072B9BCA8}">
        <x14:sourceConnection name="ThisWorkbookDataModel"/>
      </ext>
    </extLst>
  </cacheSource>
  <cacheFields count="0"/>
  <cacheHierarchies count="51">
    <cacheHierarchy uniqueName="[dim_customer].[Customer_ID]" caption="Customer_ID" attribute="1" defaultMemberUniqueName="[dim_customer].[Customer_ID].[All]" allUniqueName="[dim_customer].[Customer_ID].[All]" dimensionUniqueName="[dim_customer]" displayFolder="" count="0" memberValueDatatype="130" unbalanced="0"/>
    <cacheHierarchy uniqueName="[dim_customer].[Customer_Name]" caption="Customer_Name" attribute="1" defaultMemberUniqueName="[dim_customer].[Customer_Name].[All]" allUniqueName="[dim_customer].[Customer_Name].[All]" dimensionUniqueName="[dim_customer]" displayFolder="" count="0" memberValueDatatype="130" unbalanced="0"/>
    <cacheHierarchy uniqueName="[dim_customer_segment].[Customer_Segment_ID]" caption="Customer_Segment_ID" attribute="1" defaultMemberUniqueName="[dim_customer_segment].[Customer_Segment_ID].[All]" allUniqueName="[dim_customer_segment].[Customer_Segment_ID].[All]" dimensionUniqueName="[dim_customer_segment]" displayFolder="" count="0" memberValueDatatype="130" unbalanced="0"/>
    <cacheHierarchy uniqueName="[dim_customer_segment].[Customer_Segment_Name]" caption="Customer_Segment_Name" attribute="1" defaultMemberUniqueName="[dim_customer_segment].[Customer_Segment_Name].[All]" allUniqueName="[dim_customer_segment].[Customer_Segment_Name].[All]" dimensionUniqueName="[dim_customer_segment]" displayFolder="" count="2" memberValueDatatype="130" unbalanced="0"/>
    <cacheHierarchy uniqueName="[dim_date].[Date]" caption="Date" attribute="1" time="1" keyAttribute="1" defaultMemberUniqueName="[dim_date].[Date].[All]" allUniqueName="[dim_date].[Date].[All]" dimensionUniqueName="[dim_date]" displayFolder="" count="0" memberValueDatatype="7" unbalanced="0"/>
    <cacheHierarchy uniqueName="[dim_date].[Date Hierarchy]" caption="Date Hierarchy" time="1" defaultMemberUniqueName="[dim_date].[Date Hierarchy].[All]" allUniqueName="[dim_date].[Date Hierarchy].[All]" dimensionUniqueName="[dim_date]" displayFolder="" count="0" unbalanced="0"/>
    <cacheHierarchy uniqueName="[dim_date].[Year]" caption="Year" attribute="1" time="1" defaultMemberUniqueName="[dim_date].[Year].[All]" allUniqueName="[dim_date].[Year].[All]" dimensionUniqueName="[dim_date]" displayFolder="" count="2" memberValueDatatype="20" unbalanced="0"/>
    <cacheHierarchy uniqueName="[dim_date].[Month Number]" caption="Month Number" attribute="1" time="1" defaultMemberUniqueName="[dim_date].[Month Number].[All]" allUniqueName="[dim_date].[Month Number].[All]" dimensionUniqueName="[dim_date]" displayFolder="" count="2" memberValueDatatype="20" unbalanced="0"/>
    <cacheHierarchy uniqueName="[dim_date].[Month]" caption="Month" attribute="1" time="1" defaultMemberUniqueName="[dim_date].[Month].[All]" allUniqueName="[dim_date].[Month].[All]" dimensionUniqueName="[dim_date]" displayFolder="" count="2" memberValueDatatype="130" unbalanced="0"/>
    <cacheHierarchy uniqueName="[dim_date].[MMM-YYYY]" caption="MMM-YYYY" attribute="1" time="1" defaultMemberUniqueName="[dim_date].[MMM-YYYY].[All]" allUniqueName="[dim_date].[MMM-YYYY].[All]" dimensionUniqueName="[dim_date]" displayFolder="" count="0" memberValueDatatype="130" unbalanced="0"/>
    <cacheHierarchy uniqueName="[dim_date].[Day Of Week Number]" caption="Day Of Week Number" attribute="1" time="1" defaultMemberUniqueName="[dim_date].[Day Of Week Number].[All]" allUniqueName="[dim_date].[Day Of Week Number].[All]" dimensionUniqueName="[dim_date]" displayFolder="" count="0" memberValueDatatype="20" unbalanced="0"/>
    <cacheHierarchy uniqueName="[dim_date].[Day Of Week]" caption="Day Of Week" attribute="1" time="1" defaultMemberUniqueName="[dim_date].[Day Of Week].[All]" allUniqueName="[dim_date].[Day Of Week].[All]" dimensionUniqueName="[dim_date]" displayFolder="" count="0" memberValueDatatype="130" unbalanced="0"/>
    <cacheHierarchy uniqueName="[dim_date].[Year Month]" caption="Year Month" attribute="1" time="1" defaultMemberUniqueName="[dim_date].[Year Month].[All]" allUniqueName="[dim_date].[Year Month].[All]" dimensionUniqueName="[dim_date]" displayFolder="" count="0" memberValueDatatype="130" unbalanced="0"/>
    <cacheHierarchy uniqueName="[dim_date].[Quarter]" caption="Quarter" attribute="1" time="1" defaultMemberUniqueName="[dim_date].[Quarter].[All]" allUniqueName="[dim_date].[Quarter].[All]" dimensionUniqueName="[dim_date]" displayFolder="" count="2" memberValueDatatype="130" unbalanced="0"/>
    <cacheHierarchy uniqueName="[dim_product].[Product_ID]" caption="Product_ID" attribute="1" defaultMemberUniqueName="[dim_product].[Product_ID].[All]" allUniqueName="[dim_product].[Product_ID].[All]" dimensionUniqueName="[dim_product]" displayFolder="" count="0" memberValueDatatype="130" unbalanced="0"/>
    <cacheHierarchy uniqueName="[dim_product].[Product_Name]" caption="Product_Name" attribute="1" defaultMemberUniqueName="[dim_product].[Product_Name].[All]" allUniqueName="[dim_product].[Product_Name].[All]" dimensionUniqueName="[dim_product]" displayFolder="" count="0" memberValueDatatype="130" unbalanced="0"/>
    <cacheHierarchy uniqueName="[dim_product].[Manufacturing_Price]" caption="Manufacturing_Price" attribute="1" defaultMemberUniqueName="[dim_product].[Manufacturing_Price].[All]" allUniqueName="[dim_product].[Manufacturing_Price].[All]" dimensionUniqueName="[dim_product]" displayFolder="" count="0" memberValueDatatype="5" unbalanced="0"/>
    <cacheHierarchy uniqueName="[dim_region].[Region_ID]" caption="Region_ID" attribute="1" defaultMemberUniqueName="[dim_region].[Region_ID].[All]" allUniqueName="[dim_region].[Region_ID].[All]" dimensionUniqueName="[dim_region]" displayFolder="" count="0" memberValueDatatype="130" unbalanced="0"/>
    <cacheHierarchy uniqueName="[dim_region].[Country]" caption="Country" attribute="1" defaultMemberUniqueName="[dim_region].[Country].[All]" allUniqueName="[dim_region].[Country].[All]" dimensionUniqueName="[dim_region]" displayFolder="" count="2" memberValueDatatype="130" unbalanced="0"/>
    <cacheHierarchy uniqueName="[dim_region].[Continent]" caption="Continent" attribute="1" defaultMemberUniqueName="[dim_region].[Continent].[All]" allUniqueName="[dim_region].[Continent].[All]" dimensionUniqueName="[dim_region]" displayFolder="" count="2" memberValueDatatype="130" unbalanced="0"/>
    <cacheHierarchy uniqueName="[fact_sale_2020-2021].[Order_Date]" caption="Order_Date" attribute="1" time="1" defaultMemberUniqueName="[fact_sale_2020-2021].[Order_Date].[All]" allUniqueName="[fact_sale_2020-2021].[Order_Date].[All]" dimensionUniqueName="[fact_sale_2020-2021]" displayFolder="" count="0" memberValueDatatype="7" unbalanced="0"/>
    <cacheHierarchy uniqueName="[fact_sale_2020-2021].[Product_ID]" caption="Product_ID" attribute="1" defaultMemberUniqueName="[fact_sale_2020-2021].[Product_ID].[All]" allUniqueName="[fact_sale_2020-2021].[Product_ID].[All]" dimensionUniqueName="[fact_sale_2020-2021]" displayFolder="" count="0" memberValueDatatype="130" unbalanced="0"/>
    <cacheHierarchy uniqueName="[fact_sale_2020-2021].[Customer_ID]" caption="Customer_ID" attribute="1" defaultMemberUniqueName="[fact_sale_2020-2021].[Customer_ID].[All]" allUniqueName="[fact_sale_2020-2021].[Customer_ID].[All]" dimensionUniqueName="[fact_sale_2020-2021]" displayFolder="" count="0" memberValueDatatype="130" unbalanced="0"/>
    <cacheHierarchy uniqueName="[fact_sale_2020-2021].[Customer_Segment_ID]" caption="Customer_Segment_ID" attribute="1" defaultMemberUniqueName="[fact_sale_2020-2021].[Customer_Segment_ID].[All]" allUniqueName="[fact_sale_2020-2021].[Customer_Segment_ID].[All]" dimensionUniqueName="[fact_sale_2020-2021]" displayFolder="" count="0" memberValueDatatype="130" unbalanced="0"/>
    <cacheHierarchy uniqueName="[fact_sale_2020-2021].[Region_ID]" caption="Region_ID" attribute="1" defaultMemberUniqueName="[fact_sale_2020-2021].[Region_ID].[All]" allUniqueName="[fact_sale_2020-2021].[Region_ID].[All]" dimensionUniqueName="[fact_sale_2020-2021]" displayFolder="" count="0" memberValueDatatype="130" unbalanced="0"/>
    <cacheHierarchy uniqueName="[fact_sale_2020-2021].[Discount_Rate]" caption="Discount_Rate" attribute="1" defaultMemberUniqueName="[fact_sale_2020-2021].[Discount_Rate].[All]" allUniqueName="[fact_sale_2020-2021].[Discount_Rate].[All]" dimensionUniqueName="[fact_sale_2020-2021]" displayFolder="" count="0" memberValueDatatype="5" unbalanced="0"/>
    <cacheHierarchy uniqueName="[fact_sale_2020-2021].[Units_Sold]" caption="Units_Sold" attribute="1" defaultMemberUniqueName="[fact_sale_2020-2021].[Units_Sold].[All]" allUniqueName="[fact_sale_2020-2021].[Units_Sold].[All]" dimensionUniqueName="[fact_sale_2020-2021]" displayFolder="" count="0" memberValueDatatype="20" unbalanced="0"/>
    <cacheHierarchy uniqueName="[fact_sale_2020-2021].[Sale_Price]" caption="Sale_Price" attribute="1" defaultMemberUniqueName="[fact_sale_2020-2021].[Sale_Price].[All]" allUniqueName="[fact_sale_2020-2021].[Sale_Price].[All]" dimensionUniqueName="[fact_sale_2020-2021]" displayFolder="" count="0" memberValueDatatype="5" unbalanced="0"/>
    <cacheHierarchy uniqueName="[Measures].[Total Revenue]" caption="Total Revenue" measure="1" displayFolder="" measureGroup="fact_sale_2020-2021" count="0"/>
    <cacheHierarchy uniqueName="[Measures].[Total Cost]" caption="Total Cost" measure="1" displayFolder="" measureGroup="fact_sale_2020-2021" count="0"/>
    <cacheHierarchy uniqueName="[Measures].[Profit]" caption="Profit" measure="1" displayFolder="" measureGroup="fact_sale_2020-2021" count="0"/>
    <cacheHierarchy uniqueName="[Measures].[Profit Margin]" caption="Profit Margin" measure="1" displayFolder="" measureGroup="fact_sale_2020-2021" count="0"/>
    <cacheHierarchy uniqueName="[Measures].[Total Units Sold]" caption="Total Units Sold" measure="1" displayFolder="" measureGroup="fact_sale_2020-2021" count="0"/>
    <cacheHierarchy uniqueName="[Measures].[Total Customer]" caption="Total Customer" measure="1" displayFolder="" measureGroup="fact_sale_2020-2021" count="0"/>
    <cacheHierarchy uniqueName="[Measures].[Revenue LY]" caption="Revenue LY" measure="1" displayFolder="" measureGroup="fact_sale_2020-2021" count="0"/>
    <cacheHierarchy uniqueName="[Measures].[Revenue YoY%]" caption="Revenue YoY%" measure="1" displayFolder="" measureGroup="fact_sale_2020-2021" count="0"/>
    <cacheHierarchy uniqueName="[Measures].[Profit LY]" caption="Profit LY" measure="1" displayFolder="" measureGroup="fact_sale_2020-2021" count="0"/>
    <cacheHierarchy uniqueName="[Measures].[Profit YoY%]" caption="Profit YoY%" measure="1" displayFolder="" measureGroup="fact_sale_2020-2021" count="0"/>
    <cacheHierarchy uniqueName="[Measures].[Profit Margin LY]" caption="Profit Margin LY" measure="1" displayFolder="" measureGroup="fact_sale_2020-2021" count="0"/>
    <cacheHierarchy uniqueName="[Measures].[Profit Margin YoY (pp)]" caption="Profit Margin YoY (pp)" measure="1" displayFolder="" measureGroup="fact_sale_2020-2021" count="0"/>
    <cacheHierarchy uniqueName="[Measures].[Total Units Sold LY]" caption="Total Units Sold LY" measure="1" displayFolder="" measureGroup="fact_sale_2020-2021" count="0"/>
    <cacheHierarchy uniqueName="[Measures].[Units Sold YoY]" caption="Units Sold YoY" measure="1" displayFolder="" measureGroup="fact_sale_2020-2021" count="0"/>
    <cacheHierarchy uniqueName="[Measures].[Total Customer LY]" caption="Total Customer LY" measure="1" displayFolder="" measureGroup="fact_sale_2020-2021" count="0"/>
    <cacheHierarchy uniqueName="[Measures].[Customer YoY]" caption="Customer YoY" measure="1" displayFolder="" measureGroup="fact_sale_2020-2021" count="0"/>
    <cacheHierarchy uniqueName="[Measures].[__XL_Count fact_sale_2020-2021]" caption="__XL_Count fact_sale_2020-2021" measure="1" displayFolder="" measureGroup="fact_sale_2020-2021" count="0" hidden="1"/>
    <cacheHierarchy uniqueName="[Measures].[__XL_Count dim_customer]" caption="__XL_Count dim_customer" measure="1" displayFolder="" measureGroup="dim_customer" count="0" hidden="1"/>
    <cacheHierarchy uniqueName="[Measures].[__XL_Count dim_customer_segment]" caption="__XL_Count dim_customer_segment" measure="1" displayFolder="" measureGroup="dim_customer_segment" count="0" hidden="1"/>
    <cacheHierarchy uniqueName="[Measures].[__XL_Count dim_product]" caption="__XL_Count dim_product" measure="1" displayFolder="" measureGroup="dim_product" count="0" hidden="1"/>
    <cacheHierarchy uniqueName="[Measures].[__XL_Count dim_region]" caption="__XL_Count dim_region" measure="1" displayFolder="" measureGroup="dim_region" count="0" hidden="1"/>
    <cacheHierarchy uniqueName="[Measures].[__XL_Count Calendar]" caption="__XL_Count Calendar" measure="1" displayFolder="" measureGroup="dim_dat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9511512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1E54DBF-CE3D-4107-B25D-5BD3D068F935}" name="KPI Card" cacheId="1" applyNumberFormats="0" applyBorderFormats="0" applyFontFormats="0" applyPatternFormats="0" applyAlignmentFormats="0" applyWidthHeightFormats="1" dataCaption="Values" tag="f283e65b-1bc8-410d-920a-08227a593069" updatedVersion="8" minRefreshableVersion="3" useAutoFormatting="1" subtotalHiddenItems="1" itemPrintTitles="1" createdVersion="8" indent="0" outline="1" outlineData="1" multipleFieldFilters="0">
  <location ref="C3:G4"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Items count="1">
    <i/>
  </rowItems>
  <colFields count="1">
    <field x="-2"/>
  </colFields>
  <colItems count="5">
    <i>
      <x/>
    </i>
    <i i="1">
      <x v="1"/>
    </i>
    <i i="2">
      <x v="2"/>
    </i>
    <i i="3">
      <x v="3"/>
    </i>
    <i i="4">
      <x v="4"/>
    </i>
  </colItems>
  <dataFields count="5">
    <dataField fld="0" subtotal="count" baseField="0" baseItem="0" numFmtId="166"/>
    <dataField fld="1" subtotal="count" baseField="0" baseItem="0" numFmtId="166"/>
    <dataField fld="2" subtotal="count" baseField="0" baseItem="0"/>
    <dataField fld="3" subtotal="count" baseField="0" baseItem="0" numFmtId="166"/>
    <dataField fld="4" subtotal="count" baseField="0" baseItem="0"/>
  </dataFields>
  <formats count="2">
    <format dxfId="1">
      <pivotArea outline="0" collapsedLevelsAreSubtotals="1" fieldPosition="0">
        <references count="1">
          <reference field="4294967294" count="2" selected="0">
            <x v="0"/>
            <x v="1"/>
          </reference>
        </references>
      </pivotArea>
    </format>
    <format dxfId="0">
      <pivotArea outline="0" collapsedLevelsAreSubtotals="1" fieldPosition="0">
        <references count="1">
          <reference field="4294967294" count="1" selected="0">
            <x v="3"/>
          </reference>
        </references>
      </pivotArea>
    </format>
  </formats>
  <pivotHierarchies count="52">
    <pivotHierarchy dragToData="1"/>
    <pivotHierarchy dragToData="1"/>
    <pivotHierarchy dragToData="1"/>
    <pivotHierarchy multipleItemSelectionAllowed="1" dragToData="1"/>
    <pivotHierarchy dragToData="1"/>
    <pivotHierarchy multipleItemSelectionAllowed="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sale_2020-2021]"/>
        <x15:activeTabTopLevelEntity name="[dim_date]"/>
        <x15:activeTabTopLevelEntity name="[dim_customer_segmen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BB2C782-9648-4767-8E83-C0AD082726F6}" name="Revenue, Profit, COGS by Product" cacheId="4" applyNumberFormats="0" applyBorderFormats="0" applyFontFormats="0" applyPatternFormats="0" applyAlignmentFormats="0" applyWidthHeightFormats="1" dataCaption="Values" tag="1f7c2b12-f4ff-4632-9dff-f7d4b8d29a81" updatedVersion="8" minRefreshableVersion="3" useAutoFormatting="1" subtotalHiddenItems="1" itemPrintTitles="1" createdVersion="8" indent="0" compact="0" compactData="0" multipleFieldFilters="0" chartFormat="8">
  <location ref="C29:F36" firstHeaderRow="0" firstDataRow="1" firstDataCol="1"/>
  <pivotFields count="6">
    <pivotField dataField="1" compact="0" outline="0" subtotalTop="0" showAll="0" defaultSubtotal="0"/>
    <pivotField compact="0" allDrilled="1" outline="0"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compact="0" outline="0" subtotalTop="0" showAll="0" defaultSubtotal="0"/>
    <pivotField axis="axisRow" compact="0" allDrilled="1" outline="0" subtotalTop="0" showAll="0" sortType="a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compact="0" outline="0" subtotalTop="0" showAll="0" defaultSubtotal="0"/>
  </pivotFields>
  <rowFields count="1">
    <field x="4"/>
  </rowFields>
  <rowItems count="7">
    <i>
      <x v="2"/>
    </i>
    <i>
      <x v="1"/>
    </i>
    <i>
      <x v="3"/>
    </i>
    <i>
      <x/>
    </i>
    <i>
      <x v="5"/>
    </i>
    <i>
      <x v="4"/>
    </i>
    <i t="grand">
      <x/>
    </i>
  </rowItems>
  <colFields count="1">
    <field x="-2"/>
  </colFields>
  <colItems count="3">
    <i>
      <x/>
    </i>
    <i i="1">
      <x v="1"/>
    </i>
    <i i="2">
      <x v="2"/>
    </i>
  </colItems>
  <dataFields count="3">
    <dataField fld="0" subtotal="count" baseField="0" baseItem="0" numFmtId="165"/>
    <dataField fld="3" subtotal="count" baseField="0" baseItem="0"/>
    <dataField fld="5" subtotal="count" baseField="0" baseItem="0"/>
  </dataFields>
  <formats count="1">
    <format dxfId="2">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3" format="1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7" format="12" series="1">
      <pivotArea type="data" outline="0" fieldPosition="0">
        <references count="1">
          <reference field="4294967294" count="1" selected="0">
            <x v="0"/>
          </reference>
        </references>
      </pivotArea>
    </chartFormat>
  </chartFormats>
  <pivotHierarchies count="52">
    <pivotHierarchy dragToData="1"/>
    <pivotHierarchy dragToData="1"/>
    <pivotHierarchy dragToData="1"/>
    <pivotHierarchy multipleItemSelectionAllowed="1" dragToData="1"/>
    <pivotHierarchy dragToData="1"/>
    <pivotHierarchy multipleItemSelectionAllowed="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fact_sale_2020-2021]"/>
        <x15:activeTabTopLevelEntity name="[dim_customer_segment]"/>
        <x15:activeTabTopLevelEntity name="[dim_region]"/>
        <x15:activeTabTopLevelEntity name="[dim_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AFC9774-F78F-458F-A933-F5C613E1F5D3}" name="Revenue &amp; Profit by Country" cacheId="2" applyNumberFormats="0" applyBorderFormats="0" applyFontFormats="0" applyPatternFormats="0" applyAlignmentFormats="0" applyWidthHeightFormats="1" dataCaption="Values" tag="6f880f07-2bf3-485c-9d6c-620b5dd73e82" updatedVersion="8" minRefreshableVersion="3" useAutoFormatting="1" subtotalHiddenItems="1" itemPrintTitles="1" createdVersion="8" indent="0" compact="0" compactData="0" multipleFieldFilters="0" chartFormat="8">
  <location ref="C17:E26" firstHeaderRow="0" firstDataRow="1" firstDataCol="1"/>
  <pivotFields count="4">
    <pivotField dataField="1" compact="0" outline="0" subtotalTop="0" showAll="0" defaultSubtotal="0"/>
    <pivotField compact="0" allDrilled="1" outline="0"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compact="0" allDrilled="1" outline="0"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compact="0" outline="0" subtotalTop="0" showAll="0" defaultSubtotal="0"/>
  </pivotFields>
  <rowFields count="1">
    <field x="2"/>
  </rowFields>
  <rowItems count="9">
    <i>
      <x v="5"/>
    </i>
    <i>
      <x/>
    </i>
    <i>
      <x v="4"/>
    </i>
    <i>
      <x v="2"/>
    </i>
    <i>
      <x v="3"/>
    </i>
    <i>
      <x v="7"/>
    </i>
    <i>
      <x v="6"/>
    </i>
    <i>
      <x v="1"/>
    </i>
    <i t="grand">
      <x/>
    </i>
  </rowItems>
  <colFields count="1">
    <field x="-2"/>
  </colFields>
  <colItems count="2">
    <i>
      <x/>
    </i>
    <i i="1">
      <x v="1"/>
    </i>
  </colItems>
  <dataFields count="2">
    <dataField fld="0" subtotal="count" baseField="0" baseItem="0" numFmtId="165"/>
    <dataField fld="3" subtotal="count" baseField="0" baseItem="0"/>
  </dataFields>
  <formats count="1">
    <format dxfId="3">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3" format="1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7" format="12" series="1">
      <pivotArea type="data" outline="0" fieldPosition="0">
        <references count="1">
          <reference field="4294967294" count="1" selected="0">
            <x v="0"/>
          </reference>
        </references>
      </pivotArea>
    </chartFormat>
  </chartFormats>
  <pivotHierarchies count="52">
    <pivotHierarchy dragToData="1"/>
    <pivotHierarchy dragToData="1"/>
    <pivotHierarchy dragToData="1"/>
    <pivotHierarchy multipleItemSelectionAllowed="1" dragToData="1"/>
    <pivotHierarchy dragToData="1"/>
    <pivotHierarchy multipleItemSelectionAllowed="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fact_sale_2020-2021]"/>
        <x15:activeTabTopLevelEntity name="[dim_customer_segment]"/>
        <x15:activeTabTopLevelEntity name="[dim_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A681FDA-6DE9-4827-A960-1439CBD2C785}" name="Revenue by Customer Segment" cacheId="3" applyNumberFormats="0" applyBorderFormats="0" applyFontFormats="0" applyPatternFormats="0" applyAlignmentFormats="0" applyWidthHeightFormats="1" dataCaption="Values" tag="26e3cd2f-8e05-4e07-b460-c93352e9d1d2" updatedVersion="8" minRefreshableVersion="3" useAutoFormatting="1" subtotalHiddenItems="1" itemPrintTitles="1" createdVersion="8" indent="0" compact="0" compactData="0" multipleFieldFilters="0" chartFormat="8">
  <location ref="C8:D14" firstHeaderRow="1" firstDataRow="1" firstDataCol="1"/>
  <pivotFields count="2">
    <pivotField dataField="1" compact="0" outline="0" subtotalTop="0" showAll="0" defaultSubtotal="0"/>
    <pivotField axis="axisRow" compact="0" allDrilled="1" outline="0"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s>
  <rowFields count="1">
    <field x="1"/>
  </rowFields>
  <rowItems count="6">
    <i>
      <x v="2"/>
    </i>
    <i>
      <x v="4"/>
    </i>
    <i>
      <x v="1"/>
    </i>
    <i>
      <x v="3"/>
    </i>
    <i>
      <x/>
    </i>
    <i t="grand">
      <x/>
    </i>
  </rowItems>
  <colItems count="1">
    <i/>
  </colItems>
  <dataFields count="1">
    <dataField fld="0" subtotal="count" baseField="0" baseItem="0" numFmtId="165"/>
  </dataFields>
  <formats count="1">
    <format dxfId="4">
      <pivotArea outline="0" collapsedLevelsAreSubtotals="1" fieldPosition="0"/>
    </format>
  </formats>
  <chartFormats count="8">
    <chartFormat chart="0" format="0" series="1">
      <pivotArea type="data" outline="0" fieldPosition="0">
        <references count="1">
          <reference field="4294967294" count="1" selected="0">
            <x v="0"/>
          </reference>
        </references>
      </pivotArea>
    </chartFormat>
    <chartFormat chart="3" format="10" series="1">
      <pivotArea type="data" outline="0" fieldPosition="0">
        <references count="1">
          <reference field="4294967294" count="1" selected="0">
            <x v="0"/>
          </reference>
        </references>
      </pivotArea>
    </chartFormat>
    <chartFormat chart="7" format="12" series="1">
      <pivotArea type="data" outline="0" fieldPosition="0">
        <references count="1">
          <reference field="4294967294" count="1" selected="0">
            <x v="0"/>
          </reference>
        </references>
      </pivotArea>
    </chartFormat>
    <chartFormat chart="7" format="13">
      <pivotArea type="data" outline="0" fieldPosition="0">
        <references count="2">
          <reference field="4294967294" count="1" selected="0">
            <x v="0"/>
          </reference>
          <reference field="1" count="1" selected="0">
            <x v="2"/>
          </reference>
        </references>
      </pivotArea>
    </chartFormat>
    <chartFormat chart="7" format="14">
      <pivotArea type="data" outline="0" fieldPosition="0">
        <references count="2">
          <reference field="4294967294" count="1" selected="0">
            <x v="0"/>
          </reference>
          <reference field="1" count="1" selected="0">
            <x v="4"/>
          </reference>
        </references>
      </pivotArea>
    </chartFormat>
    <chartFormat chart="7" format="15">
      <pivotArea type="data" outline="0" fieldPosition="0">
        <references count="2">
          <reference field="4294967294" count="1" selected="0">
            <x v="0"/>
          </reference>
          <reference field="1" count="1" selected="0">
            <x v="1"/>
          </reference>
        </references>
      </pivotArea>
    </chartFormat>
    <chartFormat chart="7" format="16">
      <pivotArea type="data" outline="0" fieldPosition="0">
        <references count="2">
          <reference field="4294967294" count="1" selected="0">
            <x v="0"/>
          </reference>
          <reference field="1" count="1" selected="0">
            <x v="3"/>
          </reference>
        </references>
      </pivotArea>
    </chartFormat>
    <chartFormat chart="7" format="17">
      <pivotArea type="data" outline="0" fieldPosition="0">
        <references count="2">
          <reference field="4294967294" count="1" selected="0">
            <x v="0"/>
          </reference>
          <reference field="1" count="1" selected="0">
            <x v="0"/>
          </reference>
        </references>
      </pivotArea>
    </chartFormat>
  </chartFormats>
  <pivotHierarchies count="52">
    <pivotHierarchy dragToData="1"/>
    <pivotHierarchy dragToData="1"/>
    <pivotHierarchy dragToData="1"/>
    <pivotHierarchy multipleItemSelectionAllowed="1" dragToData="1"/>
    <pivotHierarchy dragToData="1"/>
    <pivotHierarchy multipleItemSelectionAllowed="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fact_sale_2020-2021]"/>
        <x15:activeTabTopLevelEntity name="[dim_customer_segment]"/>
        <x15:activeTabTopLevelEntity name="[dim_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DCFFA4B-EC5D-4193-8746-AA9D079C0A5D}" name="KPI LastYear" cacheId="0" applyNumberFormats="0" applyBorderFormats="0" applyFontFormats="0" applyPatternFormats="0" applyAlignmentFormats="0" applyWidthHeightFormats="1" dataCaption="Values" tag="a0ab5cb4-bcd0-4d23-9e23-754e3d427fc5" updatedVersion="8" minRefreshableVersion="3" useAutoFormatting="1" subtotalHiddenItems="1" itemPrintTitles="1" createdVersion="8" indent="0" outline="1" outlineData="1" multipleFieldFilters="0">
  <location ref="I3:M4"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Items count="1">
    <i/>
  </rowItems>
  <colFields count="1">
    <field x="-2"/>
  </colFields>
  <colItems count="5">
    <i>
      <x/>
    </i>
    <i i="1">
      <x v="1"/>
    </i>
    <i i="2">
      <x v="2"/>
    </i>
    <i i="3">
      <x v="3"/>
    </i>
    <i i="4">
      <x v="4"/>
    </i>
  </colItems>
  <dataFields count="5">
    <dataField fld="0" subtotal="count" baseField="0" baseItem="0" numFmtId="166"/>
    <dataField fld="1" subtotal="count" baseField="0" baseItem="0" numFmtId="166"/>
    <dataField fld="2" subtotal="count" baseField="0" baseItem="0"/>
    <dataField fld="3" subtotal="count" baseField="0" baseItem="0" numFmtId="166"/>
    <dataField fld="4" subtotal="count" baseField="0" baseItem="0"/>
  </dataFields>
  <formats count="2">
    <format dxfId="6">
      <pivotArea outline="0" collapsedLevelsAreSubtotals="1" fieldPosition="0">
        <references count="1">
          <reference field="4294967294" count="2" selected="0">
            <x v="0"/>
            <x v="1"/>
          </reference>
        </references>
      </pivotArea>
    </format>
    <format dxfId="5">
      <pivotArea outline="0" collapsedLevelsAreSubtotals="1" fieldPosition="0">
        <references count="1">
          <reference field="4294967294" count="1" selected="0">
            <x v="3"/>
          </reference>
        </references>
      </pivotArea>
    </format>
  </formats>
  <pivotHierarchies count="52">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sale_2020-202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D50EA39-6145-4A9D-B985-95C7666F0E5B}" name="Profit vs. Discount Rate" cacheId="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C67:E74" firstHeaderRow="0" firstDataRow="1" firstDataCol="1"/>
  <pivotFields count="3">
    <pivotField dataField="1" subtotalTop="0" showAll="0" defaultSubtotal="0"/>
    <pivotField axis="axisRow" allDrilled="1" subtotalTop="0" showAll="0" dataSourceSort="1" defaultSubtotal="0" defaultAttributeDrillState="1">
      <items count="6">
        <item x="0"/>
        <item x="1"/>
        <item x="2"/>
        <item x="3"/>
        <item x="4"/>
        <item x="5"/>
      </items>
    </pivotField>
    <pivotField dataField="1" subtotalTop="0" showAll="0" defaultSubtotal="0"/>
  </pivotFields>
  <rowFields count="1">
    <field x="1"/>
  </rowFields>
  <rowItems count="7">
    <i>
      <x/>
    </i>
    <i>
      <x v="1"/>
    </i>
    <i>
      <x v="2"/>
    </i>
    <i>
      <x v="3"/>
    </i>
    <i>
      <x v="4"/>
    </i>
    <i>
      <x v="5"/>
    </i>
    <i t="grand">
      <x/>
    </i>
  </rowItems>
  <colFields count="1">
    <field x="-2"/>
  </colFields>
  <colItems count="2">
    <i>
      <x/>
    </i>
    <i i="1">
      <x v="1"/>
    </i>
  </colItems>
  <dataFields count="2">
    <dataField name="Sum of Discount_Rate" fld="0" baseField="0" baseItem="0"/>
    <dataField fld="2" subtotal="count" baseField="0" baseItem="0" numFmtId="165"/>
  </dataFields>
  <formats count="1">
    <format dxfId="7">
      <pivotArea outline="0" collapsedLevelsAreSubtotals="1" fieldPosition="0">
        <references count="1">
          <reference field="4294967294" count="1" selected="0">
            <x v="1"/>
          </reference>
        </references>
      </pivotArea>
    </format>
  </formats>
  <pivotHierarchies count="52">
    <pivotHierarchy dragToData="1"/>
    <pivotHierarchy dragToData="1"/>
    <pivotHierarchy dragToData="1"/>
    <pivotHierarchy multipleItemSelectionAllowed="1" dragToData="1"/>
    <pivotHierarchy dragToData="1"/>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sale_2020-2021]"/>
        <x15:activeTabTopLevelEntity name="[dim_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60CD324-CDED-4108-A4A1-4AEA1EBFE038}" name="ComboChart" cacheId="5" applyNumberFormats="0" applyBorderFormats="0" applyFontFormats="0" applyPatternFormats="0" applyAlignmentFormats="0" applyWidthHeightFormats="1" dataCaption="Values" tag="514527dd-7c05-4cb9-a16b-f6b3e1c7f892" updatedVersion="8" minRefreshableVersion="3" useAutoFormatting="1" subtotalHiddenItems="1" itemPrintTitles="1" createdVersion="8" indent="0" compact="0" compactData="0" multipleFieldFilters="0" chartFormat="9">
  <location ref="C39:F64" firstHeaderRow="0" firstDataRow="1" firstDataCol="1"/>
  <pivotFields count="5">
    <pivotField axis="axisRow" compact="0" allDrilled="1" outline="0" subtotalTop="0" showAll="0" dataSourceSort="1" defaultSubtotal="0" defaultAttributeDrillState="1">
      <items count="24">
        <item x="0"/>
        <item x="1"/>
        <item x="2"/>
        <item x="3"/>
        <item x="4"/>
        <item x="5"/>
        <item x="6"/>
        <item x="7"/>
        <item x="8"/>
        <item x="9"/>
        <item x="10"/>
        <item x="11"/>
        <item x="12"/>
        <item x="13"/>
        <item x="14"/>
        <item x="15"/>
        <item x="16"/>
        <item x="17"/>
        <item x="18"/>
        <item x="19"/>
        <item x="20"/>
        <item x="21"/>
        <item x="22"/>
        <item x="23"/>
      </items>
    </pivotField>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3">
    <i>
      <x/>
    </i>
    <i i="1">
      <x v="1"/>
    </i>
    <i i="2">
      <x v="2"/>
    </i>
  </colItems>
  <dataFields count="3">
    <dataField name="Revenue" fld="1" subtotal="count" baseField="0" baseItem="0"/>
    <dataField fld="2" subtotal="count" baseField="0" baseItem="0"/>
    <dataField fld="3" subtotal="count" baseField="0" baseItem="0" numFmtId="9"/>
  </dataFields>
  <formats count="3">
    <format dxfId="10">
      <pivotArea collapsedLevelsAreSubtotals="1" fieldPosition="0">
        <references count="1">
          <reference field="0" count="0"/>
        </references>
      </pivotArea>
    </format>
    <format dxfId="9">
      <pivotArea grandRow="1" outline="0" collapsedLevelsAreSubtotals="1" fieldPosition="0"/>
    </format>
    <format dxfId="8">
      <pivotArea outline="0" fieldPosition="0">
        <references count="1">
          <reference field="4294967294" count="1" selected="0">
            <x v="2"/>
          </reference>
        </references>
      </pivotArea>
    </format>
  </formats>
  <chartFormats count="1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1"/>
          </reference>
        </references>
      </pivotArea>
    </chartFormat>
    <chartFormat chart="0" format="2">
      <pivotArea type="data" outline="0" fieldPosition="0">
        <references count="2">
          <reference field="4294967294" count="1" selected="0">
            <x v="0"/>
          </reference>
          <reference field="0" count="1" selected="0">
            <x v="6"/>
          </reference>
        </references>
      </pivotArea>
    </chartFormat>
    <chartFormat chart="0" format="3">
      <pivotArea type="data" outline="0" fieldPosition="0">
        <references count="2">
          <reference field="4294967294" count="1" selected="0">
            <x v="0"/>
          </reference>
          <reference field="0" count="1" selected="0">
            <x v="13"/>
          </reference>
        </references>
      </pivotArea>
    </chartFormat>
    <chartFormat chart="0" format="4">
      <pivotArea type="data" outline="0" fieldPosition="0">
        <references count="2">
          <reference field="4294967294" count="1" selected="0">
            <x v="0"/>
          </reference>
          <reference field="0" count="1" selected="0">
            <x v="15"/>
          </reference>
        </references>
      </pivotArea>
    </chartFormat>
    <chartFormat chart="3" format="10" series="1">
      <pivotArea type="data" outline="0" fieldPosition="0">
        <references count="1">
          <reference field="4294967294" count="1" selected="0">
            <x v="0"/>
          </reference>
        </references>
      </pivotArea>
    </chartFormat>
    <chartFormat chart="3" format="11">
      <pivotArea type="data" outline="0" fieldPosition="0">
        <references count="2">
          <reference field="4294967294" count="1" selected="0">
            <x v="0"/>
          </reference>
          <reference field="0" count="1" selected="0">
            <x v="1"/>
          </reference>
        </references>
      </pivotArea>
    </chartFormat>
    <chartFormat chart="3" format="12">
      <pivotArea type="data" outline="0" fieldPosition="0">
        <references count="2">
          <reference field="4294967294" count="1" selected="0">
            <x v="0"/>
          </reference>
          <reference field="0" count="1" selected="0">
            <x v="6"/>
          </reference>
        </references>
      </pivotArea>
    </chartFormat>
    <chartFormat chart="3" format="13">
      <pivotArea type="data" outline="0" fieldPosition="0">
        <references count="2">
          <reference field="4294967294" count="1" selected="0">
            <x v="0"/>
          </reference>
          <reference field="0" count="1" selected="0">
            <x v="13"/>
          </reference>
        </references>
      </pivotArea>
    </chartFormat>
    <chartFormat chart="3" format="14">
      <pivotArea type="data" outline="0" fieldPosition="0">
        <references count="2">
          <reference field="4294967294" count="1" selected="0">
            <x v="0"/>
          </reference>
          <reference field="0" count="1" selected="0">
            <x v="15"/>
          </reference>
        </references>
      </pivotArea>
    </chartFormat>
    <chartFormat chart="8" format="7" series="1">
      <pivotArea type="data" outline="0" fieldPosition="0">
        <references count="1">
          <reference field="4294967294" count="1" selected="0">
            <x v="0"/>
          </reference>
        </references>
      </pivotArea>
    </chartFormat>
    <chartFormat chart="8" format="8" series="1">
      <pivotArea type="data" outline="0" fieldPosition="0">
        <references count="1">
          <reference field="4294967294" count="1" selected="0">
            <x v="1"/>
          </reference>
        </references>
      </pivotArea>
    </chartFormat>
    <chartFormat chart="8" format="9" series="1">
      <pivotArea type="data" outline="0" fieldPosition="0">
        <references count="1">
          <reference field="4294967294" count="1" selected="0">
            <x v="2"/>
          </reference>
        </references>
      </pivotArea>
    </chartFormat>
  </chartFormats>
  <pivotHierarchies count="52">
    <pivotHierarchy dragToData="1"/>
    <pivotHierarchy dragToData="1"/>
    <pivotHierarchy dragToData="1"/>
    <pivotHierarchy multipleItemSelectionAllowed="1" dragToData="1"/>
    <pivotHierarchy dragToData="1"/>
    <pivotHierarchy multipleItemSelectionAllowed="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fact_sale_2020-2021]"/>
        <x15:activeTabTopLevelEntity name="[dim_customer_segment]"/>
        <x15:activeTabTopLevelEntity name="[dim_region]"/>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833C8539-6EDE-4F97-BADB-51A1489F7017}" sourceName="[dim_date].[Year]">
  <pivotTables>
    <pivotTable tabId="2" name="Revenue &amp; Profit by Country"/>
    <pivotTable tabId="2" name="Revenue by Customer Segment"/>
    <pivotTable tabId="2" name="Revenue, Profit, COGS by Product"/>
    <pivotTable tabId="2" name="ComboChart"/>
  </pivotTables>
  <data>
    <olap pivotCacheId="95115124">
      <levels count="2">
        <level uniqueName="[dim_date].[Year].[(All)]" sourceCaption="(All)" count="0"/>
        <level uniqueName="[dim_date].[Year].[Year]" sourceCaption="Year" count="2">
          <ranges>
            <range startItem="0">
              <i n="[dim_date].[Year].&amp;[2020]" c="2020"/>
              <i n="[dim_date].[Year].&amp;[2021]" c="2021"/>
            </range>
          </ranges>
        </level>
      </levels>
      <selections count="1">
        <selection n="[dim_date].[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4BC1BAEC-D27A-4FF2-BB5B-54C1EB005FEB}" sourceName="[dim_date].[Quarter]">
  <pivotTables>
    <pivotTable tabId="2" name="Revenue &amp; Profit by Country"/>
    <pivotTable tabId="2" name="Revenue by Customer Segment"/>
    <pivotTable tabId="2" name="Revenue, Profit, COGS by Product"/>
    <pivotTable tabId="2" name="ComboChart"/>
  </pivotTables>
  <data>
    <olap pivotCacheId="95115124">
      <levels count="2">
        <level uniqueName="[dim_date].[Quarter].[(All)]" sourceCaption="(All)" count="0"/>
        <level uniqueName="[dim_date].[Quarter].[Quarter]" sourceCaption="Quarter" count="4">
          <ranges>
            <range startItem="0">
              <i n="[dim_date].[Quarter].&amp;[Q1]" c="Q1"/>
              <i n="[dim_date].[Quarter].&amp;[Q2]" c="Q2"/>
              <i n="[dim_date].[Quarter].&amp;[Q3]" c="Q3"/>
              <i n="[dim_date].[Quarter].&amp;[Q4]" c="Q4"/>
            </range>
          </ranges>
        </level>
      </levels>
      <selections count="1">
        <selection n="[dim_date].[Quarte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Segment_Name" xr10:uid="{BF209A44-0A79-4129-A725-AE5F6A57716F}" sourceName="[dim_customer_segment].[Customer_Segment_Name]">
  <pivotTables>
    <pivotTable tabId="2" name="Revenue &amp; Profit by Country"/>
    <pivotTable tabId="2" name="Revenue by Customer Segment"/>
    <pivotTable tabId="2" name="Revenue, Profit, COGS by Product"/>
    <pivotTable tabId="2" name="ComboChart"/>
  </pivotTables>
  <data>
    <olap pivotCacheId="95115124">
      <levels count="2">
        <level uniqueName="[dim_customer_segment].[Customer_Segment_Name].[(All)]" sourceCaption="(All)" count="0"/>
        <level uniqueName="[dim_customer_segment].[Customer_Segment_Name].[Customer_Segment_Name]" sourceCaption="Customer_Segment_Name" count="5">
          <ranges>
            <range startItem="0">
              <i n="[dim_customer_segment].[Customer_Segment_Name].&amp;[Channel Partners]" c="Channel Partners"/>
              <i n="[dim_customer_segment].[Customer_Segment_Name].&amp;[Enterprise]" c="Enterprise"/>
              <i n="[dim_customer_segment].[Customer_Segment_Name].&amp;[Government]" c="Government"/>
              <i n="[dim_customer_segment].[Customer_Segment_Name].&amp;[Midmarket]" c="Midmarket"/>
              <i n="[dim_customer_segment].[Customer_Segment_Name].&amp;[Small Business]" c="Small Business"/>
            </range>
          </ranges>
        </level>
      </levels>
      <selections count="1">
        <selection n="[dim_customer_segment].[Customer_Segment_Name].[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umber" xr10:uid="{40794B64-6926-4C88-B823-043AC23696D3}" sourceName="[dim_date].[Month Number]">
  <pivotTables>
    <pivotTable tabId="2" name="ComboChart"/>
    <pivotTable tabId="2" name="Revenue &amp; Profit by Country"/>
    <pivotTable tabId="2" name="Revenue by Customer Segment"/>
    <pivotTable tabId="2" name="Revenue, Profit, COGS by Product"/>
  </pivotTables>
  <data>
    <olap pivotCacheId="95115124">
      <levels count="2">
        <level uniqueName="[dim_date].[Month Number].[(All)]" sourceCaption="(All)" count="0"/>
        <level uniqueName="[dim_date].[Month Number].[Month Number]" sourceCaption="Month Number" count="12">
          <ranges>
            <range startItem="0">
              <i n="[dim_date].[Month Number].&amp;[1]" c="1"/>
              <i n="[dim_date].[Month Number].&amp;[2]" c="2"/>
              <i n="[dim_date].[Month Number].&amp;[3]" c="3"/>
              <i n="[dim_date].[Month Number].&amp;[4]" c="4"/>
              <i n="[dim_date].[Month Number].&amp;[5]" c="5"/>
              <i n="[dim_date].[Month Number].&amp;[6]" c="6"/>
              <i n="[dim_date].[Month Number].&amp;[7]" c="7"/>
              <i n="[dim_date].[Month Number].&amp;[8]" c="8"/>
              <i n="[dim_date].[Month Number].&amp;[9]" c="9"/>
              <i n="[dim_date].[Month Number].&amp;[10]" c="10"/>
              <i n="[dim_date].[Month Number].&amp;[11]" c="11"/>
              <i n="[dim_date].[Month Number].&amp;[12]" c="12"/>
            </range>
          </ranges>
        </level>
      </levels>
      <selections count="1">
        <selection n="[dim_date].[Month Number].[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8F80580E-5551-4382-A3CE-56F2BF35735F}" sourceName="[dim_region].[Country]">
  <pivotTables>
    <pivotTable tabId="2" name="ComboChart"/>
    <pivotTable tabId="2" name="Revenue &amp; Profit by Country"/>
    <pivotTable tabId="2" name="Revenue by Customer Segment"/>
    <pivotTable tabId="2" name="Revenue, Profit, COGS by Product"/>
  </pivotTables>
  <data>
    <olap pivotCacheId="95115124">
      <levels count="2">
        <level uniqueName="[dim_region].[Country].[(All)]" sourceCaption="(All)" count="0"/>
        <level uniqueName="[dim_region].[Country].[Country]" sourceCaption="Country" count="8">
          <ranges>
            <range startItem="0">
              <i n="[dim_region].[Country].&amp;[Canada]" c="Canada"/>
              <i n="[dim_region].[Country].&amp;[England]" c="England"/>
              <i n="[dim_region].[Country].&amp;[France]" c="France"/>
              <i n="[dim_region].[Country].&amp;[Germany]" c="Germany"/>
              <i n="[dim_region].[Country].&amp;[India]" c="India"/>
              <i n="[dim_region].[Country].&amp;[Italy]" c="Italy"/>
              <i n="[dim_region].[Country].&amp;[Japan]" c="Japan"/>
              <i n="[dim_region].[Country].&amp;[USA]" c="USA"/>
            </range>
          </ranges>
        </level>
      </levels>
      <selections count="1">
        <selection n="[dim_region].[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315F7E79-A553-412D-82BA-6FBBE98C90A2}" cache="Slicer_Year" caption="Year" columnCount="2" showCaption="0" level="1" style="SlicerStyleLight1 2" rowHeight="241300"/>
  <slicer name="Quarter" xr10:uid="{0D926E34-9273-46C1-8709-C1F34C07E953}" cache="Slicer_Quarter" caption="Quarter" columnCount="4" showCaption="0" level="1" style="SlicerStyleLight1 2" rowHeight="241300"/>
  <slicer name="Customer_Segment_Name" xr10:uid="{390377D5-B10D-4020-AC34-6406EECA9EF9}" cache="Slicer_Customer_Segment_Name" caption="Customer_Segment_Name" showCaption="0" level="1" style="SlicerStyleLight1 2" rowHeight="241300"/>
  <slicer name="Month Number 2" xr10:uid="{A1E8D037-839C-472C-86AC-C2EBB929B44B}" cache="Slicer_Month_Number" caption="Month Number" columnCount="3" showCaption="0" level="1" style="SlicerStyleLight1 2" rowHeight="241300"/>
  <slicer name="Country" xr10:uid="{6B5F6404-2038-4634-BF5C-8DDFC702F861}" cache="Slicer_Country" caption="Country" showCaption="0" level="1" style="SlicerStyleLight1 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microsoft.com/office/2007/relationships/slicer" Target="../slicers/slicer1.xml"/></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showRowColHeaders="0" tabSelected="1" zoomScaleNormal="100" workbookViewId="0">
      <selection activeCell="Z5" sqref="Z5"/>
    </sheetView>
  </sheetViews>
  <sheetFormatPr defaultRowHeight="15"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Option Button 1">
              <controlPr defaultSize="0" autoFill="0" autoLine="0" autoPict="0">
                <anchor moveWithCells="1">
                  <from>
                    <xdr:col>12</xdr:col>
                    <xdr:colOff>495300</xdr:colOff>
                    <xdr:row>25</xdr:row>
                    <xdr:rowOff>171450</xdr:rowOff>
                  </from>
                  <to>
                    <xdr:col>13</xdr:col>
                    <xdr:colOff>590550</xdr:colOff>
                    <xdr:row>27</xdr:row>
                    <xdr:rowOff>9525</xdr:rowOff>
                  </to>
                </anchor>
              </controlPr>
            </control>
          </mc:Choice>
        </mc:AlternateContent>
        <mc:AlternateContent xmlns:mc="http://schemas.openxmlformats.org/markup-compatibility/2006">
          <mc:Choice Requires="x14">
            <control shapeId="1026" r:id="rId4" name="Option Button 2">
              <controlPr defaultSize="0" autoFill="0" autoLine="0" autoPict="0">
                <anchor moveWithCells="1">
                  <from>
                    <xdr:col>13</xdr:col>
                    <xdr:colOff>485775</xdr:colOff>
                    <xdr:row>25</xdr:row>
                    <xdr:rowOff>171450</xdr:rowOff>
                  </from>
                  <to>
                    <xdr:col>15</xdr:col>
                    <xdr:colOff>19050</xdr:colOff>
                    <xdr:row>27</xdr:row>
                    <xdr:rowOff>9525</xdr:rowOff>
                  </to>
                </anchor>
              </controlPr>
            </control>
          </mc:Choice>
        </mc:AlternateContent>
        <mc:AlternateContent xmlns:mc="http://schemas.openxmlformats.org/markup-compatibility/2006">
          <mc:Choice Requires="x14">
            <control shapeId="1027" r:id="rId5" name="Check Box 3">
              <controlPr defaultSize="0" autoFill="0" autoLine="0" autoPict="0">
                <anchor moveWithCells="1">
                  <from>
                    <xdr:col>19</xdr:col>
                    <xdr:colOff>219075</xdr:colOff>
                    <xdr:row>24</xdr:row>
                    <xdr:rowOff>171450</xdr:rowOff>
                  </from>
                  <to>
                    <xdr:col>20</xdr:col>
                    <xdr:colOff>228600</xdr:colOff>
                    <xdr:row>26</xdr:row>
                    <xdr:rowOff>9525</xdr:rowOff>
                  </to>
                </anchor>
              </controlPr>
            </control>
          </mc:Choice>
        </mc:AlternateContent>
        <mc:AlternateContent xmlns:mc="http://schemas.openxmlformats.org/markup-compatibility/2006">
          <mc:Choice Requires="x14">
            <control shapeId="1028" r:id="rId6" name="Check Box 4">
              <controlPr defaultSize="0" autoFill="0" autoLine="0" autoPict="0">
                <anchor moveWithCells="1">
                  <from>
                    <xdr:col>20</xdr:col>
                    <xdr:colOff>200025</xdr:colOff>
                    <xdr:row>24</xdr:row>
                    <xdr:rowOff>171450</xdr:rowOff>
                  </from>
                  <to>
                    <xdr:col>21</xdr:col>
                    <xdr:colOff>142875</xdr:colOff>
                    <xdr:row>26</xdr:row>
                    <xdr:rowOff>9525</xdr:rowOff>
                  </to>
                </anchor>
              </controlPr>
            </control>
          </mc:Choice>
        </mc:AlternateContent>
        <mc:AlternateContent xmlns:mc="http://schemas.openxmlformats.org/markup-compatibility/2006">
          <mc:Choice Requires="x14">
            <control shapeId="1029" r:id="rId7" name="Check Box 5">
              <controlPr defaultSize="0" autoFill="0" autoLine="0" autoPict="0">
                <anchor moveWithCells="1">
                  <from>
                    <xdr:col>21</xdr:col>
                    <xdr:colOff>57150</xdr:colOff>
                    <xdr:row>24</xdr:row>
                    <xdr:rowOff>171450</xdr:rowOff>
                  </from>
                  <to>
                    <xdr:col>22</xdr:col>
                    <xdr:colOff>238125</xdr:colOff>
                    <xdr:row>26</xdr:row>
                    <xdr:rowOff>9525</xdr:rowOff>
                  </to>
                </anchor>
              </controlPr>
            </control>
          </mc:Choice>
        </mc:AlternateContent>
        <mc:AlternateContent xmlns:mc="http://schemas.openxmlformats.org/markup-compatibility/2006">
          <mc:Choice Requires="x14">
            <control shapeId="1031" r:id="rId8" name="Button 7">
              <controlPr defaultSize="0" print="0" autoFill="0" autoPict="0" macro="[0]!ClearAllSlicers" altText="CLEAR ALL SLICERS">
                <anchor moveWithCells="1" sizeWithCells="1">
                  <from>
                    <xdr:col>1</xdr:col>
                    <xdr:colOff>371475</xdr:colOff>
                    <xdr:row>32</xdr:row>
                    <xdr:rowOff>133350</xdr:rowOff>
                  </from>
                  <to>
                    <xdr:col>3</xdr:col>
                    <xdr:colOff>419100</xdr:colOff>
                    <xdr:row>34</xdr:row>
                    <xdr:rowOff>19050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A7E4A-6C96-4044-8EB1-52DCE8BC8876}">
  <sheetPr codeName="Sheet2"/>
  <dimension ref="A3:M76"/>
  <sheetViews>
    <sheetView zoomScaleNormal="100" workbookViewId="0">
      <selection activeCell="AA15" sqref="AA15"/>
    </sheetView>
  </sheetViews>
  <sheetFormatPr defaultRowHeight="15" x14ac:dyDescent="0.25"/>
  <cols>
    <col min="1" max="1" width="37.42578125" bestFit="1" customWidth="1"/>
    <col min="3" max="3" width="13.85546875" bestFit="1" customWidth="1"/>
    <col min="4" max="4" width="20.5703125" bestFit="1" customWidth="1"/>
    <col min="5" max="5" width="7.85546875" bestFit="1" customWidth="1"/>
    <col min="6" max="6" width="12.7109375" bestFit="1" customWidth="1"/>
    <col min="7" max="7" width="14.5703125" bestFit="1" customWidth="1"/>
    <col min="8" max="8" width="16.28515625" bestFit="1" customWidth="1"/>
    <col min="9" max="9" width="14.42578125" bestFit="1" customWidth="1"/>
    <col min="10" max="10" width="13.85546875" bestFit="1" customWidth="1"/>
    <col min="11" max="11" width="21" bestFit="1" customWidth="1"/>
    <col min="12" max="12" width="14" bestFit="1" customWidth="1"/>
    <col min="13" max="13" width="17" bestFit="1" customWidth="1"/>
    <col min="14" max="26" width="16.28515625" bestFit="1" customWidth="1"/>
    <col min="27" max="28" width="11.28515625" bestFit="1" customWidth="1"/>
  </cols>
  <sheetData>
    <row r="3" spans="1:13" x14ac:dyDescent="0.25">
      <c r="A3" s="4" t="s">
        <v>0</v>
      </c>
      <c r="C3" t="s">
        <v>1</v>
      </c>
      <c r="D3" t="s">
        <v>2</v>
      </c>
      <c r="E3" t="s">
        <v>3</v>
      </c>
      <c r="F3" t="s">
        <v>4</v>
      </c>
      <c r="G3" t="s">
        <v>5</v>
      </c>
      <c r="I3" t="s">
        <v>61</v>
      </c>
      <c r="J3" t="s">
        <v>62</v>
      </c>
      <c r="K3" t="s">
        <v>63</v>
      </c>
      <c r="L3" t="s">
        <v>71</v>
      </c>
      <c r="M3" t="s">
        <v>72</v>
      </c>
    </row>
    <row r="4" spans="1:13" x14ac:dyDescent="0.25">
      <c r="C4" s="6">
        <v>355123052.27499998</v>
      </c>
      <c r="D4" s="6">
        <v>175283018.77499998</v>
      </c>
      <c r="E4" s="1">
        <v>0.49358389339159098</v>
      </c>
      <c r="F4" s="6">
        <v>1272056</v>
      </c>
      <c r="G4">
        <v>150</v>
      </c>
      <c r="I4" s="6">
        <v>163900544.375</v>
      </c>
      <c r="J4" s="6">
        <v>81253012.87500003</v>
      </c>
      <c r="K4" s="1">
        <v>0.49574583894666835</v>
      </c>
      <c r="L4" s="6">
        <v>595480</v>
      </c>
      <c r="M4">
        <v>132</v>
      </c>
    </row>
    <row r="8" spans="1:13" x14ac:dyDescent="0.25">
      <c r="A8" s="4" t="s">
        <v>32</v>
      </c>
      <c r="C8" s="3" t="s">
        <v>33</v>
      </c>
      <c r="D8" t="s">
        <v>1</v>
      </c>
    </row>
    <row r="9" spans="1:13" x14ac:dyDescent="0.25">
      <c r="C9" t="s">
        <v>34</v>
      </c>
      <c r="D9" s="2">
        <v>149994240.5</v>
      </c>
    </row>
    <row r="10" spans="1:13" x14ac:dyDescent="0.25">
      <c r="C10" t="s">
        <v>35</v>
      </c>
      <c r="D10" s="2">
        <v>53620003.325000003</v>
      </c>
    </row>
    <row r="11" spans="1:13" x14ac:dyDescent="0.25">
      <c r="C11" t="s">
        <v>36</v>
      </c>
      <c r="D11" s="2">
        <v>52065924.79999999</v>
      </c>
    </row>
    <row r="12" spans="1:13" x14ac:dyDescent="0.25">
      <c r="C12" t="s">
        <v>37</v>
      </c>
      <c r="D12" s="2">
        <v>50031959.900000006</v>
      </c>
    </row>
    <row r="13" spans="1:13" x14ac:dyDescent="0.25">
      <c r="C13" t="s">
        <v>38</v>
      </c>
      <c r="D13" s="2">
        <v>49410923.75</v>
      </c>
    </row>
    <row r="14" spans="1:13" x14ac:dyDescent="0.25">
      <c r="C14" t="s">
        <v>31</v>
      </c>
      <c r="D14" s="2">
        <v>355123052.27499998</v>
      </c>
    </row>
    <row r="16" spans="1:13" x14ac:dyDescent="0.25">
      <c r="H16">
        <v>1</v>
      </c>
    </row>
    <row r="17" spans="1:11" x14ac:dyDescent="0.25">
      <c r="A17" s="4" t="s">
        <v>46</v>
      </c>
      <c r="C17" s="3" t="s">
        <v>47</v>
      </c>
      <c r="D17" t="s">
        <v>1</v>
      </c>
      <c r="E17" t="s">
        <v>2</v>
      </c>
      <c r="H17" t="s">
        <v>47</v>
      </c>
      <c r="I17" t="s">
        <v>48</v>
      </c>
    </row>
    <row r="18" spans="1:11" x14ac:dyDescent="0.25">
      <c r="C18" t="s">
        <v>49</v>
      </c>
      <c r="D18" s="2">
        <v>35602864</v>
      </c>
      <c r="E18" s="2">
        <v>17365625</v>
      </c>
      <c r="H18" t="s">
        <v>49</v>
      </c>
      <c r="I18" s="2">
        <f>VLOOKUP(H18,$C$17:$E$25,$H$16+1,0)</f>
        <v>35602864</v>
      </c>
    </row>
    <row r="19" spans="1:11" x14ac:dyDescent="0.25">
      <c r="C19" t="s">
        <v>50</v>
      </c>
      <c r="D19" s="2">
        <v>39860558.450000003</v>
      </c>
      <c r="E19" s="2">
        <v>18709693.450000003</v>
      </c>
      <c r="H19" t="s">
        <v>50</v>
      </c>
      <c r="I19" s="2">
        <f t="shared" ref="I19:I25" si="0">VLOOKUP(H19,$C$17:$E$25,$H$16+1,0)</f>
        <v>39860558.450000003</v>
      </c>
    </row>
    <row r="20" spans="1:11" x14ac:dyDescent="0.25">
      <c r="C20" t="s">
        <v>51</v>
      </c>
      <c r="D20" s="2">
        <v>40899707.07500001</v>
      </c>
      <c r="E20" s="2">
        <v>20901093.07500001</v>
      </c>
      <c r="H20" t="s">
        <v>51</v>
      </c>
      <c r="I20" s="2">
        <f t="shared" si="0"/>
        <v>40899707.07500001</v>
      </c>
    </row>
    <row r="21" spans="1:11" x14ac:dyDescent="0.25">
      <c r="C21" t="s">
        <v>52</v>
      </c>
      <c r="D21" s="2">
        <v>41277966.700000003</v>
      </c>
      <c r="E21" s="2">
        <v>20227294.700000003</v>
      </c>
      <c r="H21" t="s">
        <v>52</v>
      </c>
      <c r="I21" s="2">
        <f t="shared" si="0"/>
        <v>41277966.700000003</v>
      </c>
    </row>
    <row r="22" spans="1:11" x14ac:dyDescent="0.25">
      <c r="C22" t="s">
        <v>53</v>
      </c>
      <c r="D22" s="2">
        <v>41473597.600000001</v>
      </c>
      <c r="E22" s="2">
        <v>20585474.599999994</v>
      </c>
      <c r="H22" t="s">
        <v>53</v>
      </c>
      <c r="I22" s="2">
        <f t="shared" si="0"/>
        <v>41473597.600000001</v>
      </c>
    </row>
    <row r="23" spans="1:11" x14ac:dyDescent="0.25">
      <c r="C23" t="s">
        <v>54</v>
      </c>
      <c r="D23" s="2">
        <v>46892881.374999993</v>
      </c>
      <c r="E23" s="2">
        <v>22758530.874999993</v>
      </c>
      <c r="H23" t="s">
        <v>54</v>
      </c>
      <c r="I23" s="2">
        <f t="shared" si="0"/>
        <v>46892881.374999993</v>
      </c>
    </row>
    <row r="24" spans="1:11" x14ac:dyDescent="0.25">
      <c r="C24" t="s">
        <v>55</v>
      </c>
      <c r="D24" s="2">
        <v>53594403.649999991</v>
      </c>
      <c r="E24" s="2">
        <v>27233264.649999991</v>
      </c>
      <c r="H24" t="s">
        <v>55</v>
      </c>
      <c r="I24" s="2">
        <f t="shared" si="0"/>
        <v>53594403.649999991</v>
      </c>
    </row>
    <row r="25" spans="1:11" x14ac:dyDescent="0.25">
      <c r="C25" t="s">
        <v>56</v>
      </c>
      <c r="D25" s="2">
        <v>55521073.42499999</v>
      </c>
      <c r="E25" s="2">
        <v>27502042.42499999</v>
      </c>
      <c r="H25" t="s">
        <v>56</v>
      </c>
      <c r="I25" s="2">
        <f t="shared" si="0"/>
        <v>55521073.42499999</v>
      </c>
    </row>
    <row r="26" spans="1:11" x14ac:dyDescent="0.25">
      <c r="C26" t="s">
        <v>31</v>
      </c>
      <c r="D26" s="2">
        <v>355123052.27499998</v>
      </c>
      <c r="E26" s="2">
        <v>175283018.77499998</v>
      </c>
    </row>
    <row r="28" spans="1:11" x14ac:dyDescent="0.25">
      <c r="I28" t="b">
        <v>1</v>
      </c>
      <c r="J28" t="b">
        <v>1</v>
      </c>
      <c r="K28" t="b">
        <v>1</v>
      </c>
    </row>
    <row r="29" spans="1:11" x14ac:dyDescent="0.25">
      <c r="A29" s="4" t="s">
        <v>57</v>
      </c>
      <c r="C29" s="3" t="s">
        <v>39</v>
      </c>
      <c r="D29" t="s">
        <v>1</v>
      </c>
      <c r="E29" t="s">
        <v>2</v>
      </c>
      <c r="F29" t="s">
        <v>58</v>
      </c>
      <c r="H29" t="s">
        <v>39</v>
      </c>
      <c r="I29" t="s">
        <v>48</v>
      </c>
      <c r="J29" t="s">
        <v>2</v>
      </c>
      <c r="K29" t="s">
        <v>59</v>
      </c>
    </row>
    <row r="30" spans="1:11" x14ac:dyDescent="0.25">
      <c r="C30" t="s">
        <v>43</v>
      </c>
      <c r="D30" s="2">
        <v>37990195.500000015</v>
      </c>
      <c r="E30" s="2">
        <v>17190583.500000015</v>
      </c>
      <c r="F30" s="2">
        <v>20799612</v>
      </c>
      <c r="H30" t="s">
        <v>43</v>
      </c>
      <c r="I30" s="2">
        <f>IF($I$28,VLOOKUP(H30,$C$29:$F$35,2,0))</f>
        <v>37990195.500000015</v>
      </c>
      <c r="J30" s="2">
        <f>IF($J$28,VLOOKUP(H30,$C$29:$F$35,3,0))</f>
        <v>17190583.500000015</v>
      </c>
      <c r="K30" s="2">
        <f>IF($K$28,VLOOKUP(H30,$C$29:$F$35,4,0))</f>
        <v>20799612</v>
      </c>
    </row>
    <row r="31" spans="1:11" x14ac:dyDescent="0.25">
      <c r="C31" t="s">
        <v>40</v>
      </c>
      <c r="D31" s="2">
        <v>44574829.899999984</v>
      </c>
      <c r="E31" s="2">
        <v>17514671.899999984</v>
      </c>
      <c r="F31" s="2">
        <v>27060158</v>
      </c>
      <c r="H31" t="s">
        <v>40</v>
      </c>
      <c r="I31" s="2">
        <f t="shared" ref="I31:I35" si="1">IF($I$28,VLOOKUP(H31,$C$29:$F$35,2,0))</f>
        <v>44574829.899999984</v>
      </c>
      <c r="J31" s="2">
        <f t="shared" ref="J31:J35" si="2">IF($J$28,VLOOKUP(H31,$C$29:$F$35,3,0))</f>
        <v>17514671.899999984</v>
      </c>
      <c r="K31" s="2">
        <f t="shared" ref="K31:K35" si="3">IF($K$28,VLOOKUP(H31,$C$29:$F$35,4,0))</f>
        <v>27060158</v>
      </c>
    </row>
    <row r="32" spans="1:11" x14ac:dyDescent="0.25">
      <c r="C32" t="s">
        <v>44</v>
      </c>
      <c r="D32" s="2">
        <v>46931514.724999987</v>
      </c>
      <c r="E32" s="2">
        <v>21155627.224999987</v>
      </c>
      <c r="F32" s="2">
        <v>25775887.5</v>
      </c>
      <c r="H32" t="s">
        <v>44</v>
      </c>
      <c r="I32" s="2">
        <f t="shared" si="1"/>
        <v>46931514.724999987</v>
      </c>
      <c r="J32" s="2">
        <f t="shared" si="2"/>
        <v>21155627.224999987</v>
      </c>
      <c r="K32" s="2">
        <f t="shared" si="3"/>
        <v>25775887.5</v>
      </c>
    </row>
    <row r="33" spans="1:11" x14ac:dyDescent="0.25">
      <c r="C33" t="s">
        <v>45</v>
      </c>
      <c r="D33" s="2">
        <v>57056872.850000016</v>
      </c>
      <c r="E33" s="2">
        <v>29676352.850000016</v>
      </c>
      <c r="F33" s="2">
        <v>27380520</v>
      </c>
      <c r="H33" t="s">
        <v>45</v>
      </c>
      <c r="I33" s="2">
        <f t="shared" si="1"/>
        <v>57056872.850000016</v>
      </c>
      <c r="J33" s="2">
        <f t="shared" si="2"/>
        <v>29676352.850000016</v>
      </c>
      <c r="K33" s="2">
        <f t="shared" si="3"/>
        <v>27380520</v>
      </c>
    </row>
    <row r="34" spans="1:11" x14ac:dyDescent="0.25">
      <c r="C34" t="s">
        <v>41</v>
      </c>
      <c r="D34" s="2">
        <v>79038861.25</v>
      </c>
      <c r="E34" s="2">
        <v>45766621.25</v>
      </c>
      <c r="F34" s="2">
        <v>33272240</v>
      </c>
      <c r="H34" t="s">
        <v>41</v>
      </c>
      <c r="I34" s="2">
        <f t="shared" si="1"/>
        <v>79038861.25</v>
      </c>
      <c r="J34" s="2">
        <f t="shared" si="2"/>
        <v>45766621.25</v>
      </c>
      <c r="K34" s="2">
        <f t="shared" si="3"/>
        <v>33272240</v>
      </c>
    </row>
    <row r="35" spans="1:11" x14ac:dyDescent="0.25">
      <c r="C35" t="s">
        <v>42</v>
      </c>
      <c r="D35" s="2">
        <v>89530778.049999982</v>
      </c>
      <c r="E35" s="2">
        <v>43979162.049999982</v>
      </c>
      <c r="F35" s="2">
        <v>45551616</v>
      </c>
      <c r="H35" t="s">
        <v>42</v>
      </c>
      <c r="I35" s="2">
        <f t="shared" si="1"/>
        <v>89530778.049999982</v>
      </c>
      <c r="J35" s="2">
        <f t="shared" si="2"/>
        <v>43979162.049999982</v>
      </c>
      <c r="K35" s="2">
        <f t="shared" si="3"/>
        <v>45551616</v>
      </c>
    </row>
    <row r="36" spans="1:11" x14ac:dyDescent="0.25">
      <c r="C36" t="s">
        <v>31</v>
      </c>
      <c r="D36" s="2">
        <v>355123052.27499998</v>
      </c>
      <c r="E36" s="2">
        <v>175283018.77499998</v>
      </c>
      <c r="F36" s="2">
        <v>179840033.5</v>
      </c>
    </row>
    <row r="39" spans="1:11" x14ac:dyDescent="0.25">
      <c r="A39" s="4" t="s">
        <v>60</v>
      </c>
      <c r="C39" s="3" t="s">
        <v>6</v>
      </c>
      <c r="D39" t="s">
        <v>48</v>
      </c>
      <c r="E39" t="s">
        <v>2</v>
      </c>
      <c r="F39" t="s">
        <v>3</v>
      </c>
    </row>
    <row r="40" spans="1:11" x14ac:dyDescent="0.25">
      <c r="C40" t="s">
        <v>7</v>
      </c>
      <c r="D40" s="2">
        <v>12993520.300000001</v>
      </c>
      <c r="E40" s="2">
        <v>6789287.3000000007</v>
      </c>
      <c r="F40" s="5">
        <v>0.52251330996111967</v>
      </c>
    </row>
    <row r="41" spans="1:11" x14ac:dyDescent="0.25">
      <c r="C41" t="s">
        <v>8</v>
      </c>
      <c r="D41" s="2">
        <v>8150532.2750000004</v>
      </c>
      <c r="E41" s="2">
        <v>4029982.7750000004</v>
      </c>
      <c r="F41" s="5">
        <v>0.49444412205582</v>
      </c>
    </row>
    <row r="42" spans="1:11" x14ac:dyDescent="0.25">
      <c r="C42" t="s">
        <v>9</v>
      </c>
      <c r="D42" s="2">
        <v>13055455.65</v>
      </c>
      <c r="E42" s="2">
        <v>6494853.1500000004</v>
      </c>
      <c r="F42" s="5">
        <v>0.49748192051803264</v>
      </c>
    </row>
    <row r="43" spans="1:11" x14ac:dyDescent="0.25">
      <c r="C43" t="s">
        <v>10</v>
      </c>
      <c r="D43" s="2">
        <v>16042101.674999999</v>
      </c>
      <c r="E43" s="2">
        <v>8185223.1749999989</v>
      </c>
      <c r="F43" s="5">
        <v>0.51023384222503998</v>
      </c>
    </row>
    <row r="44" spans="1:11" x14ac:dyDescent="0.25">
      <c r="C44" t="s">
        <v>11</v>
      </c>
      <c r="D44" s="2">
        <v>11151137.85</v>
      </c>
      <c r="E44" s="2">
        <v>5437693.3499999996</v>
      </c>
      <c r="F44" s="5">
        <v>0.48763573934295862</v>
      </c>
    </row>
    <row r="45" spans="1:11" x14ac:dyDescent="0.25">
      <c r="C45" t="s">
        <v>12</v>
      </c>
      <c r="D45" s="2">
        <v>11351968.300000001</v>
      </c>
      <c r="E45" s="2">
        <v>5512751.3000000007</v>
      </c>
      <c r="F45" s="5">
        <v>0.48562074473023331</v>
      </c>
    </row>
    <row r="46" spans="1:11" x14ac:dyDescent="0.25">
      <c r="C46" t="s">
        <v>13</v>
      </c>
      <c r="D46" s="2">
        <v>17998118.725000001</v>
      </c>
      <c r="E46" s="2">
        <v>8712852.2250000015</v>
      </c>
      <c r="F46" s="5">
        <v>0.48409794146415713</v>
      </c>
    </row>
    <row r="47" spans="1:11" x14ac:dyDescent="0.25">
      <c r="C47" t="s">
        <v>14</v>
      </c>
      <c r="D47" s="2">
        <v>12053888.450000001</v>
      </c>
      <c r="E47" s="2">
        <v>5792497.9500000011</v>
      </c>
      <c r="F47" s="5">
        <v>0.48055015392149247</v>
      </c>
    </row>
    <row r="48" spans="1:11" x14ac:dyDescent="0.25">
      <c r="C48" t="s">
        <v>15</v>
      </c>
      <c r="D48" s="2">
        <v>13113264.25</v>
      </c>
      <c r="E48" s="2">
        <v>6393517.75</v>
      </c>
      <c r="F48" s="5">
        <v>0.48756111583734768</v>
      </c>
    </row>
    <row r="49" spans="3:6" x14ac:dyDescent="0.25">
      <c r="C49" t="s">
        <v>16</v>
      </c>
      <c r="D49" s="2">
        <v>16507841.600000001</v>
      </c>
      <c r="E49" s="2">
        <v>7936152.1000000015</v>
      </c>
      <c r="F49" s="5">
        <v>0.48075043923367916</v>
      </c>
    </row>
    <row r="50" spans="3:6" x14ac:dyDescent="0.25">
      <c r="C50" t="s">
        <v>17</v>
      </c>
      <c r="D50" s="2">
        <v>14811371.15</v>
      </c>
      <c r="E50" s="2">
        <v>7657227.1500000004</v>
      </c>
      <c r="F50" s="5">
        <v>0.51698300396719177</v>
      </c>
    </row>
    <row r="51" spans="3:6" x14ac:dyDescent="0.25">
      <c r="C51" t="s">
        <v>18</v>
      </c>
      <c r="D51" s="2">
        <v>16671344.149999999</v>
      </c>
      <c r="E51" s="2">
        <v>8310974.6499999985</v>
      </c>
      <c r="F51" s="5">
        <v>0.49851857026177454</v>
      </c>
    </row>
    <row r="52" spans="3:6" x14ac:dyDescent="0.25">
      <c r="C52" t="s">
        <v>19</v>
      </c>
      <c r="D52" s="2">
        <v>17462655.25</v>
      </c>
      <c r="E52" s="2">
        <v>8841342.75</v>
      </c>
      <c r="F52" s="5">
        <v>0.50630002272993391</v>
      </c>
    </row>
    <row r="53" spans="3:6" x14ac:dyDescent="0.25">
      <c r="C53" t="s">
        <v>20</v>
      </c>
      <c r="D53" s="2">
        <v>10280044.299999999</v>
      </c>
      <c r="E53" s="2">
        <v>5237566.7999999989</v>
      </c>
      <c r="F53" s="5">
        <v>0.50948873829269392</v>
      </c>
    </row>
    <row r="54" spans="3:6" x14ac:dyDescent="0.25">
      <c r="C54" t="s">
        <v>21</v>
      </c>
      <c r="D54" s="2">
        <v>13154489.450000001</v>
      </c>
      <c r="E54" s="2">
        <v>5989873.4500000011</v>
      </c>
      <c r="F54" s="5">
        <v>0.45534822714081091</v>
      </c>
    </row>
    <row r="55" spans="3:6" x14ac:dyDescent="0.25">
      <c r="C55" t="s">
        <v>22</v>
      </c>
      <c r="D55" s="2">
        <v>19436879.275000002</v>
      </c>
      <c r="E55" s="2">
        <v>9419227.2750000022</v>
      </c>
      <c r="F55" s="5">
        <v>0.48460594634217591</v>
      </c>
    </row>
    <row r="56" spans="3:6" x14ac:dyDescent="0.25">
      <c r="C56" t="s">
        <v>23</v>
      </c>
      <c r="D56" s="2">
        <v>14691772.550000001</v>
      </c>
      <c r="E56" s="2">
        <v>7359178.5500000007</v>
      </c>
      <c r="F56" s="5">
        <v>0.50090474277046992</v>
      </c>
    </row>
    <row r="57" spans="3:6" x14ac:dyDescent="0.25">
      <c r="C57" t="s">
        <v>24</v>
      </c>
      <c r="D57" s="2">
        <v>16060429.375</v>
      </c>
      <c r="E57" s="2">
        <v>8180177.375</v>
      </c>
      <c r="F57" s="5">
        <v>0.50933740213281187</v>
      </c>
    </row>
    <row r="58" spans="3:6" x14ac:dyDescent="0.25">
      <c r="C58" t="s">
        <v>25</v>
      </c>
      <c r="D58" s="2">
        <v>14830226.875</v>
      </c>
      <c r="E58" s="2">
        <v>7340529.375</v>
      </c>
      <c r="F58" s="5">
        <v>0.49497080772070118</v>
      </c>
    </row>
    <row r="59" spans="3:6" x14ac:dyDescent="0.25">
      <c r="C59" t="s">
        <v>26</v>
      </c>
      <c r="D59" s="2">
        <v>17305356.375</v>
      </c>
      <c r="E59" s="2">
        <v>8528727.875</v>
      </c>
      <c r="F59" s="5">
        <v>0.49283745969663684</v>
      </c>
    </row>
    <row r="60" spans="3:6" x14ac:dyDescent="0.25">
      <c r="C60" t="s">
        <v>27</v>
      </c>
      <c r="D60" s="2">
        <v>13405226.049999999</v>
      </c>
      <c r="E60" s="2">
        <v>6678299.5499999989</v>
      </c>
      <c r="F60" s="5">
        <v>0.49818626892904944</v>
      </c>
    </row>
    <row r="61" spans="3:6" x14ac:dyDescent="0.25">
      <c r="C61" t="s">
        <v>28</v>
      </c>
      <c r="D61" s="2">
        <v>17944157.049999997</v>
      </c>
      <c r="E61" s="2">
        <v>8771393.049999997</v>
      </c>
      <c r="F61" s="5">
        <v>0.48881611020006083</v>
      </c>
    </row>
    <row r="62" spans="3:6" x14ac:dyDescent="0.25">
      <c r="C62" t="s">
        <v>29</v>
      </c>
      <c r="D62" s="2">
        <v>17844453.399999999</v>
      </c>
      <c r="E62" s="2">
        <v>9042604.3999999985</v>
      </c>
      <c r="F62" s="5">
        <v>0.50674594493323055</v>
      </c>
    </row>
    <row r="63" spans="3:6" x14ac:dyDescent="0.25">
      <c r="C63" t="s">
        <v>30</v>
      </c>
      <c r="D63" s="2">
        <v>18806817.949999999</v>
      </c>
      <c r="E63" s="2">
        <v>8641085.4499999993</v>
      </c>
      <c r="F63" s="5">
        <v>0.45946557641879016</v>
      </c>
    </row>
    <row r="64" spans="3:6" x14ac:dyDescent="0.25">
      <c r="C64" t="s">
        <v>31</v>
      </c>
      <c r="D64" s="2">
        <v>355123052.27499998</v>
      </c>
      <c r="E64" s="2">
        <v>175283018.77499998</v>
      </c>
      <c r="F64" s="5">
        <v>0.49358389339159098</v>
      </c>
    </row>
    <row r="67" spans="1:10" x14ac:dyDescent="0.25">
      <c r="A67" t="s">
        <v>90</v>
      </c>
      <c r="C67" s="3" t="s">
        <v>74</v>
      </c>
      <c r="D67" t="s">
        <v>73</v>
      </c>
      <c r="E67" t="s">
        <v>2</v>
      </c>
      <c r="H67" t="s">
        <v>75</v>
      </c>
      <c r="I67" t="s">
        <v>76</v>
      </c>
      <c r="J67" t="s">
        <v>89</v>
      </c>
    </row>
    <row r="68" spans="1:10" x14ac:dyDescent="0.25">
      <c r="A68" s="4"/>
      <c r="C68" s="7" t="s">
        <v>45</v>
      </c>
      <c r="D68">
        <v>19.400000000000013</v>
      </c>
      <c r="E68" s="2">
        <v>29676352.850000016</v>
      </c>
      <c r="H68" s="7" t="s">
        <v>45</v>
      </c>
      <c r="I68">
        <v>19.400000000000013</v>
      </c>
      <c r="J68" s="2">
        <v>29676352.850000016</v>
      </c>
    </row>
    <row r="69" spans="1:10" x14ac:dyDescent="0.25">
      <c r="C69" s="7" t="s">
        <v>40</v>
      </c>
      <c r="D69">
        <v>9.15</v>
      </c>
      <c r="E69" s="2">
        <v>17514671.899999984</v>
      </c>
      <c r="H69" s="7" t="s">
        <v>40</v>
      </c>
      <c r="I69">
        <v>9.15</v>
      </c>
      <c r="J69" s="2">
        <v>17514671.899999984</v>
      </c>
    </row>
    <row r="70" spans="1:10" x14ac:dyDescent="0.25">
      <c r="C70" s="7" t="s">
        <v>43</v>
      </c>
      <c r="D70">
        <v>11.100000000000003</v>
      </c>
      <c r="E70" s="2">
        <v>17190583.500000015</v>
      </c>
      <c r="H70" s="7" t="s">
        <v>43</v>
      </c>
      <c r="I70">
        <v>11.100000000000003</v>
      </c>
      <c r="J70" s="2">
        <v>17190583.500000015</v>
      </c>
    </row>
    <row r="71" spans="1:10" x14ac:dyDescent="0.25">
      <c r="C71" s="7" t="s">
        <v>44</v>
      </c>
      <c r="D71">
        <v>10.850000000000007</v>
      </c>
      <c r="E71" s="2">
        <v>21155627.224999987</v>
      </c>
      <c r="H71" s="7" t="s">
        <v>44</v>
      </c>
      <c r="I71">
        <v>10.850000000000007</v>
      </c>
      <c r="J71" s="2">
        <v>21155627.224999987</v>
      </c>
    </row>
    <row r="72" spans="1:10" x14ac:dyDescent="0.25">
      <c r="C72" s="7" t="s">
        <v>42</v>
      </c>
      <c r="D72">
        <v>8.6499999999999968</v>
      </c>
      <c r="E72" s="2">
        <v>43979162.049999982</v>
      </c>
      <c r="H72" s="7" t="s">
        <v>42</v>
      </c>
      <c r="I72">
        <v>8.6499999999999968</v>
      </c>
      <c r="J72" s="2">
        <v>43979162.049999982</v>
      </c>
    </row>
    <row r="73" spans="1:10" x14ac:dyDescent="0.25">
      <c r="C73" s="7" t="s">
        <v>41</v>
      </c>
      <c r="D73">
        <v>9.800000000000006</v>
      </c>
      <c r="E73" s="2">
        <v>45766621.25</v>
      </c>
      <c r="H73" s="7" t="s">
        <v>41</v>
      </c>
      <c r="I73">
        <v>9.800000000000006</v>
      </c>
      <c r="J73" s="2">
        <v>45766621.25</v>
      </c>
    </row>
    <row r="74" spans="1:10" x14ac:dyDescent="0.25">
      <c r="C74" s="7" t="s">
        <v>31</v>
      </c>
      <c r="D74">
        <v>68.949999999999989</v>
      </c>
      <c r="E74" s="2">
        <v>175283018.77499998</v>
      </c>
      <c r="I74" s="2"/>
    </row>
    <row r="75" spans="1:10" x14ac:dyDescent="0.25">
      <c r="I75" s="2"/>
    </row>
    <row r="76" spans="1:10" x14ac:dyDescent="0.25">
      <c r="I76" s="2"/>
    </row>
  </sheetData>
  <pageMargins left="0.7" right="0.7" top="0.75" bottom="0.75" header="0.3" footer="0.3"/>
  <drawing r:id="rId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C7A08-EB06-4758-B68E-8ECDFBEAE37D}">
  <sheetPr codeName="Sheet3"/>
  <dimension ref="C3:D15"/>
  <sheetViews>
    <sheetView showGridLines="0" zoomScaleNormal="100" workbookViewId="0">
      <selection activeCell="K14" sqref="K14"/>
    </sheetView>
  </sheetViews>
  <sheetFormatPr defaultRowHeight="15" x14ac:dyDescent="0.25"/>
  <cols>
    <col min="3" max="3" width="36.140625" bestFit="1" customWidth="1"/>
    <col min="4" max="4" width="107.28515625" customWidth="1"/>
  </cols>
  <sheetData>
    <row r="3" spans="3:4" ht="18" x14ac:dyDescent="0.25">
      <c r="C3" s="11" t="s">
        <v>77</v>
      </c>
      <c r="D3" s="11"/>
    </row>
    <row r="4" spans="3:4" ht="54" x14ac:dyDescent="0.25">
      <c r="C4" s="8" t="s">
        <v>78</v>
      </c>
      <c r="D4" s="9" t="s">
        <v>79</v>
      </c>
    </row>
    <row r="5" spans="3:4" ht="72" x14ac:dyDescent="0.25">
      <c r="C5" s="8" t="s">
        <v>64</v>
      </c>
      <c r="D5" s="9" t="s">
        <v>80</v>
      </c>
    </row>
    <row r="6" spans="3:4" ht="72" x14ac:dyDescent="0.25">
      <c r="C6" s="8" t="s">
        <v>69</v>
      </c>
      <c r="D6" s="9" t="s">
        <v>81</v>
      </c>
    </row>
    <row r="7" spans="3:4" x14ac:dyDescent="0.25">
      <c r="C7" s="10"/>
      <c r="D7" s="10"/>
    </row>
    <row r="8" spans="3:4" ht="18" x14ac:dyDescent="0.25">
      <c r="C8" s="11" t="s">
        <v>88</v>
      </c>
      <c r="D8" s="11"/>
    </row>
    <row r="9" spans="3:4" ht="18" x14ac:dyDescent="0.25">
      <c r="C9" s="8" t="s">
        <v>65</v>
      </c>
      <c r="D9" s="9" t="s">
        <v>70</v>
      </c>
    </row>
    <row r="10" spans="3:4" ht="18" x14ac:dyDescent="0.25">
      <c r="C10" s="8" t="s">
        <v>82</v>
      </c>
      <c r="D10" s="9" t="s">
        <v>83</v>
      </c>
    </row>
    <row r="11" spans="3:4" x14ac:dyDescent="0.25">
      <c r="C11" s="10"/>
      <c r="D11" s="10"/>
    </row>
    <row r="12" spans="3:4" ht="18" x14ac:dyDescent="0.25">
      <c r="C12" s="11" t="s">
        <v>84</v>
      </c>
      <c r="D12" s="11"/>
    </row>
    <row r="13" spans="3:4" ht="18" x14ac:dyDescent="0.25">
      <c r="C13" s="8" t="s">
        <v>66</v>
      </c>
      <c r="D13" s="9" t="s">
        <v>85</v>
      </c>
    </row>
    <row r="14" spans="3:4" ht="36" x14ac:dyDescent="0.25">
      <c r="C14" s="8" t="s">
        <v>67</v>
      </c>
      <c r="D14" s="9" t="s">
        <v>86</v>
      </c>
    </row>
    <row r="15" spans="3:4" ht="54" x14ac:dyDescent="0.25">
      <c r="C15" s="8" t="s">
        <v>68</v>
      </c>
      <c r="D15" s="9" t="s">
        <v>87</v>
      </c>
    </row>
  </sheetData>
  <mergeCells count="3">
    <mergeCell ref="C3:D3"/>
    <mergeCell ref="C8:D8"/>
    <mergeCell ref="C12:D1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Props1.xml><?xml version="1.0" encoding="utf-8"?>
<ds:datastoreItem xmlns:ds="http://schemas.openxmlformats.org/officeDocument/2006/customXml" ds:itemID="{5AB6AEDC-B61C-4CC5-9625-FE62C040A959}">
  <ds:schemaRefs>
    <ds:schemaRef ds:uri="http://gemini/pivotcustomization/TableOrder"/>
  </ds:schemaRefs>
</ds:datastoreItem>
</file>

<file path=customXml/itemProps2.xml><?xml version="1.0" encoding="utf-8"?>
<ds:datastoreItem xmlns:ds="http://schemas.openxmlformats.org/officeDocument/2006/customXml" ds:itemID="{972244FD-AF0A-4FD0-A26C-362349636EE9}">
  <ds:schemaRefs/>
</ds:datastoreItem>
</file>

<file path=customXml/itemProps3.xml><?xml version="1.0" encoding="utf-8"?>
<ds:datastoreItem xmlns:ds="http://schemas.openxmlformats.org/officeDocument/2006/customXml" ds:itemID="{A1DA2B94-E78D-426C-8502-8F64C52C6A89}">
  <ds:schemaRefs/>
</ds:datastoreItem>
</file>

<file path=customXml/itemProps4.xml><?xml version="1.0" encoding="utf-8"?>
<ds:datastoreItem xmlns:ds="http://schemas.openxmlformats.org/officeDocument/2006/customXml" ds:itemID="{B88B6B72-44E1-45B9-ABB7-CC11DDF44E34}">
  <ds:schemaRefs>
    <ds:schemaRef ds:uri="http://gemini/pivotcustomization/ShowHidden"/>
  </ds:schemaRefs>
</ds:datastoreItem>
</file>

<file path=customXml/itemProps5.xml><?xml version="1.0" encoding="utf-8"?>
<ds:datastoreItem xmlns:ds="http://schemas.openxmlformats.org/officeDocument/2006/customXml" ds:itemID="{40115EC0-992A-49E6-B8F9-636517CCCE55}">
  <ds:schemaRefs/>
</ds:datastoreItem>
</file>

<file path=customXml/itemProps6.xml><?xml version="1.0" encoding="utf-8"?>
<ds:datastoreItem xmlns:ds="http://schemas.openxmlformats.org/officeDocument/2006/customXml" ds:itemID="{35C8502F-86BC-4F4B-A525-0AB4B8ED67FB}">
  <ds:schemaRefs>
    <ds:schemaRef ds:uri="http://gemini/pivotcustomization/1f7c2b12-f4ff-4632-9dff-f7d4b8d29a81"/>
  </ds:schemaRefs>
</ds:datastoreItem>
</file>

<file path=customXml/itemProps7.xml><?xml version="1.0" encoding="utf-8"?>
<ds:datastoreItem xmlns:ds="http://schemas.openxmlformats.org/officeDocument/2006/customXml" ds:itemID="{864B0609-EA9A-4B5E-906A-39BBCEEF673A}">
  <ds:schemaRefs>
    <ds:schemaRef ds:uri="http://schemas.microsoft.com/DataMashup"/>
  </ds:schemaRefs>
</ds:datastoreItem>
</file>

<file path=customXml/itemProps8.xml><?xml version="1.0" encoding="utf-8"?>
<ds:datastoreItem xmlns:ds="http://schemas.openxmlformats.org/officeDocument/2006/customXml" ds:itemID="{F3AD542D-0B86-44A6-B6AE-13B4E8072813}">
  <ds:schemaRefs>
    <ds:schemaRef ds:uri="http://gemini/pivotcustomization/TableXML_dim_region_6752ee56-0109-4506-bf7f-ef03b87e23fc"/>
  </ds:schemaRefs>
</ds:datastoreItem>
</file>

<file path=customXml/itemProps9.xml><?xml version="1.0" encoding="utf-8"?>
<ds:datastoreItem xmlns:ds="http://schemas.openxmlformats.org/officeDocument/2006/customXml" ds:itemID="{30278E7D-2BF8-47F4-9D58-7059B652515A}">
  <ds:schemaRefs>
    <ds:schemaRef ds:uri="http://gemini/pivotcustomization/TableXML_fact_sale_2020-2021_2eb2cafb-7a4d-4293-8f3e-7cf81cb20606"/>
  </ds:schemaRefs>
</ds:datastoreItem>
</file>

<file path=customXml/itemProps10.xml><?xml version="1.0" encoding="utf-8"?>
<ds:datastoreItem xmlns:ds="http://schemas.openxmlformats.org/officeDocument/2006/customXml" ds:itemID="{8AD48FCA-03EA-48B0-A84F-8058F19208F6}">
  <ds:schemaRefs/>
</ds:datastoreItem>
</file>

<file path=customXml/itemProps11.xml><?xml version="1.0" encoding="utf-8"?>
<ds:datastoreItem xmlns:ds="http://schemas.openxmlformats.org/officeDocument/2006/customXml" ds:itemID="{E4A85470-A355-409E-B815-083BA93CFA97}">
  <ds:schemaRefs>
    <ds:schemaRef ds:uri="http://gemini/pivotcustomization/ManualCalcMode"/>
  </ds:schemaRefs>
</ds:datastoreItem>
</file>

<file path=customXml/itemProps12.xml><?xml version="1.0" encoding="utf-8"?>
<ds:datastoreItem xmlns:ds="http://schemas.openxmlformats.org/officeDocument/2006/customXml" ds:itemID="{EDBB58C3-E714-4FCF-8022-8B8084FEE8AF}">
  <ds:schemaRefs/>
</ds:datastoreItem>
</file>

<file path=customXml/itemProps13.xml><?xml version="1.0" encoding="utf-8"?>
<ds:datastoreItem xmlns:ds="http://schemas.openxmlformats.org/officeDocument/2006/customXml" ds:itemID="{67307D5F-3464-4846-9856-166D29EA2285}">
  <ds:schemaRefs/>
</ds:datastoreItem>
</file>

<file path=customXml/itemProps14.xml><?xml version="1.0" encoding="utf-8"?>
<ds:datastoreItem xmlns:ds="http://schemas.openxmlformats.org/officeDocument/2006/customXml" ds:itemID="{91788059-E2EB-457D-9DE2-E7AFEB8E98CC}">
  <ds:schemaRefs>
    <ds:schemaRef ds:uri="http://gemini/pivotcustomization/LinkedTableUpdateMode"/>
  </ds:schemaRefs>
</ds:datastoreItem>
</file>

<file path=customXml/itemProps15.xml><?xml version="1.0" encoding="utf-8"?>
<ds:datastoreItem xmlns:ds="http://schemas.openxmlformats.org/officeDocument/2006/customXml" ds:itemID="{2E5DEB0D-E938-48F5-BB0C-CE388CFDD963}">
  <ds:schemaRefs/>
</ds:datastoreItem>
</file>

<file path=customXml/itemProps16.xml><?xml version="1.0" encoding="utf-8"?>
<ds:datastoreItem xmlns:ds="http://schemas.openxmlformats.org/officeDocument/2006/customXml" ds:itemID="{B424637B-5E19-4A78-A9E4-094DF1BDDEDB}">
  <ds:schemaRefs>
    <ds:schemaRef ds:uri="http://gemini/pivotcustomization/7d054f61-11db-401c-a74c-72970a66aa8e"/>
  </ds:schemaRefs>
</ds:datastoreItem>
</file>

<file path=customXml/itemProps17.xml><?xml version="1.0" encoding="utf-8"?>
<ds:datastoreItem xmlns:ds="http://schemas.openxmlformats.org/officeDocument/2006/customXml" ds:itemID="{DEE0379B-ECFB-4C7C-8872-FE5C14612779}">
  <ds:schemaRefs/>
</ds:datastoreItem>
</file>

<file path=customXml/itemProps18.xml><?xml version="1.0" encoding="utf-8"?>
<ds:datastoreItem xmlns:ds="http://schemas.openxmlformats.org/officeDocument/2006/customXml" ds:itemID="{85A4C9E7-F65B-48EA-AD23-F442884F1803}">
  <ds:schemaRefs>
    <ds:schemaRef ds:uri="http://gemini/pivotcustomization/ShowImplicitMeasures"/>
  </ds:schemaRefs>
</ds:datastoreItem>
</file>

<file path=customXml/itemProps19.xml><?xml version="1.0" encoding="utf-8"?>
<ds:datastoreItem xmlns:ds="http://schemas.openxmlformats.org/officeDocument/2006/customXml" ds:itemID="{4D041723-FC1B-4F9F-8DC5-F27B3DB9BFAA}">
  <ds:schemaRefs>
    <ds:schemaRef ds:uri="http://gemini/pivotcustomization/FormulaBarState"/>
  </ds:schemaRefs>
</ds:datastoreItem>
</file>

<file path=customXml/itemProps20.xml><?xml version="1.0" encoding="utf-8"?>
<ds:datastoreItem xmlns:ds="http://schemas.openxmlformats.org/officeDocument/2006/customXml" ds:itemID="{AA7BE2DD-2AE8-4537-B955-A58DDD2121E0}">
  <ds:schemaRefs/>
</ds:datastoreItem>
</file>

<file path=customXml/itemProps21.xml><?xml version="1.0" encoding="utf-8"?>
<ds:datastoreItem xmlns:ds="http://schemas.openxmlformats.org/officeDocument/2006/customXml" ds:itemID="{CEA33BE1-2CBB-4707-A455-C49AFD3AC73E}">
  <ds:schemaRefs>
    <ds:schemaRef ds:uri="http://gemini/pivotcustomization/TableXML_dim_product_eb2b5462-a098-46d2-ba13-9ddd74177244"/>
  </ds:schemaRefs>
</ds:datastoreItem>
</file>

<file path=customXml/itemProps22.xml><?xml version="1.0" encoding="utf-8"?>
<ds:datastoreItem xmlns:ds="http://schemas.openxmlformats.org/officeDocument/2006/customXml" ds:itemID="{24D8C80F-5C3D-4B2D-8A8F-8ADC60DC647A}">
  <ds:schemaRefs/>
</ds:datastoreItem>
</file>

<file path=customXml/itemProps23.xml><?xml version="1.0" encoding="utf-8"?>
<ds:datastoreItem xmlns:ds="http://schemas.openxmlformats.org/officeDocument/2006/customXml" ds:itemID="{A2300AA9-218C-4FBA-A843-19C2A3682FA2}">
  <ds:schemaRefs/>
</ds:datastoreItem>
</file>

<file path=customXml/itemProps24.xml><?xml version="1.0" encoding="utf-8"?>
<ds:datastoreItem xmlns:ds="http://schemas.openxmlformats.org/officeDocument/2006/customXml" ds:itemID="{068B4C0E-CB42-4D63-9A78-B20E2890E5CC}">
  <ds:schemaRefs>
    <ds:schemaRef ds:uri="http://gemini/pivotcustomization/b3d48fa9-3360-4f10-bd5d-69491f0d95c4"/>
  </ds:schemaRefs>
</ds:datastoreItem>
</file>

<file path=customXml/itemProps25.xml><?xml version="1.0" encoding="utf-8"?>
<ds:datastoreItem xmlns:ds="http://schemas.openxmlformats.org/officeDocument/2006/customXml" ds:itemID="{AC85BD8E-06D6-4346-9F22-F6C4F415BF5C}">
  <ds:schemaRefs>
    <ds:schemaRef ds:uri="http://gemini/pivotcustomization/TableXML_dim_customer_segment_c3919d61-b7ca-48c3-b518-5d5ce8ccdbba"/>
  </ds:schemaRefs>
</ds:datastoreItem>
</file>

<file path=customXml/itemProps26.xml><?xml version="1.0" encoding="utf-8"?>
<ds:datastoreItem xmlns:ds="http://schemas.openxmlformats.org/officeDocument/2006/customXml" ds:itemID="{CBD89B66-B77C-4AD6-B3F3-55B9C25C4143}">
  <ds:schemaRefs>
    <ds:schemaRef ds:uri="http://gemini/pivotcustomization/TableXML_Calendar"/>
  </ds:schemaRefs>
</ds:datastoreItem>
</file>

<file path=customXml/itemProps27.xml><?xml version="1.0" encoding="utf-8"?>
<ds:datastoreItem xmlns:ds="http://schemas.openxmlformats.org/officeDocument/2006/customXml" ds:itemID="{79736C33-FCCC-4AA9-BE53-DE1221040E96}">
  <ds:schemaRefs/>
</ds:datastoreItem>
</file>

<file path=customXml/itemProps28.xml><?xml version="1.0" encoding="utf-8"?>
<ds:datastoreItem xmlns:ds="http://schemas.openxmlformats.org/officeDocument/2006/customXml" ds:itemID="{4D57E960-64F4-408E-97FF-77674073DBA6}">
  <ds:schemaRefs/>
</ds:datastoreItem>
</file>

<file path=customXml/itemProps29.xml><?xml version="1.0" encoding="utf-8"?>
<ds:datastoreItem xmlns:ds="http://schemas.openxmlformats.org/officeDocument/2006/customXml" ds:itemID="{16372AF9-29EC-4196-A980-BCBC8B34193D}">
  <ds:schemaRefs>
    <ds:schemaRef ds:uri="http://gemini/pivotcustomization/6f880f07-2bf3-485c-9d6c-620b5dd73e82"/>
  </ds:schemaRefs>
</ds:datastoreItem>
</file>

<file path=customXml/itemProps30.xml><?xml version="1.0" encoding="utf-8"?>
<ds:datastoreItem xmlns:ds="http://schemas.openxmlformats.org/officeDocument/2006/customXml" ds:itemID="{57FDBED4-7C79-4602-821A-14E084AC4CEE}">
  <ds:schemaRefs>
    <ds:schemaRef ds:uri="http://gemini/pivotcustomization/TableXML_dim_customer_17a625bc-8d3a-42f6-b7b2-6a3b7651803d"/>
  </ds:schemaRefs>
</ds:datastoreItem>
</file>

<file path=customXml/itemProps31.xml><?xml version="1.0" encoding="utf-8"?>
<ds:datastoreItem xmlns:ds="http://schemas.openxmlformats.org/officeDocument/2006/customXml" ds:itemID="{A900070E-A156-4BE0-8E2A-05C1BACA94AB}">
  <ds:schemaRefs/>
</ds:datastoreItem>
</file>

<file path=customXml/itemProps32.xml><?xml version="1.0" encoding="utf-8"?>
<ds:datastoreItem xmlns:ds="http://schemas.openxmlformats.org/officeDocument/2006/customXml" ds:itemID="{208DEF84-1814-4623-954D-6566EB0242FB}">
  <ds:schemaRefs/>
</ds:datastoreItem>
</file>

<file path=customXml/itemProps33.xml><?xml version="1.0" encoding="utf-8"?>
<ds:datastoreItem xmlns:ds="http://schemas.openxmlformats.org/officeDocument/2006/customXml" ds:itemID="{EB60D157-1B4B-47AF-9F31-EC91571CF72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Analyze</vt:lpstr>
      <vt:lpstr>Design Thinking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Ngân Lê</dc:creator>
  <cp:keywords/>
  <dc:description/>
  <cp:lastModifiedBy>Ngân Lê</cp:lastModifiedBy>
  <cp:revision/>
  <dcterms:created xsi:type="dcterms:W3CDTF">2026-02-19T09:33:08Z</dcterms:created>
  <dcterms:modified xsi:type="dcterms:W3CDTF">2026-02-24T12:35:08Z</dcterms:modified>
  <cp:category/>
  <cp:contentStatus/>
</cp:coreProperties>
</file>